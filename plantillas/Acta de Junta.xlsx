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ubrica\plantillas\"/>
    </mc:Choice>
  </mc:AlternateContent>
  <bookViews>
    <workbookView xWindow="0" yWindow="0" windowWidth="23040" windowHeight="8784"/>
  </bookViews>
  <sheets>
    <sheet name="Acta" sheetId="1" r:id="rId1"/>
    <sheet name="Tutores" sheetId="2" state="hidden" r:id="rId2"/>
    <sheet name="Asig" sheetId="3" state="hidden" r:id="rId3"/>
    <sheet name="Datos" sheetId="4" state="hidden" r:id="rId4"/>
  </sheets>
  <definedNames>
    <definedName name="Año">Datos!$A$2:$A$6</definedName>
    <definedName name="asigna">Asig!$A$1:$G$212</definedName>
    <definedName name="CURSOS">Tutores!$B$2:$B$15</definedName>
    <definedName name="Lugar">Datos!$B$2:$B$7</definedName>
    <definedName name="TUTOR">Tutores!$A$2:$A$15</definedName>
    <definedName name="tutor1">Tutores!$D$1:$E$15</definedName>
  </definedNames>
  <calcPr calcId="162913"/>
  <extLst>
    <ext uri="GoogleSheetsCustomDataVersion2">
      <go:sheetsCustomData xmlns:go="http://customooxmlschemas.google.com/" r:id="rId8" roundtripDataChecksum="FKJ2aeyIfxLJRsfpoRpPpuh0BM0HB11KAVByW5VMQXk="/>
    </ext>
  </extLst>
</workbook>
</file>

<file path=xl/calcChain.xml><?xml version="1.0" encoding="utf-8"?>
<calcChain xmlns="http://schemas.openxmlformats.org/spreadsheetml/2006/main">
  <c r="A230" i="3" l="1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78" i="1"/>
  <c r="C54" i="1"/>
  <c r="C48" i="1"/>
  <c r="C43" i="1"/>
  <c r="B9" i="1"/>
  <c r="M91" i="1" s="1"/>
  <c r="AA1" i="1"/>
  <c r="K39" i="1" s="1"/>
  <c r="C28" i="1" l="1"/>
  <c r="C36" i="1"/>
  <c r="C21" i="1"/>
  <c r="C25" i="1"/>
  <c r="C29" i="1"/>
  <c r="C37" i="1"/>
  <c r="K21" i="1"/>
  <c r="K29" i="1"/>
  <c r="K33" i="1"/>
  <c r="K37" i="1"/>
  <c r="K24" i="1"/>
  <c r="K28" i="1"/>
  <c r="K32" i="1"/>
  <c r="K36" i="1"/>
  <c r="C33" i="1"/>
  <c r="K25" i="1"/>
  <c r="C22" i="1"/>
  <c r="C26" i="1"/>
  <c r="C30" i="1"/>
  <c r="C34" i="1"/>
  <c r="C38" i="1"/>
  <c r="C24" i="1"/>
  <c r="K22" i="1"/>
  <c r="K26" i="1"/>
  <c r="K30" i="1"/>
  <c r="K34" i="1"/>
  <c r="K38" i="1"/>
  <c r="C27" i="1"/>
  <c r="C39" i="1"/>
  <c r="C32" i="1"/>
  <c r="C23" i="1"/>
  <c r="C31" i="1"/>
  <c r="C35" i="1"/>
  <c r="K23" i="1"/>
  <c r="K27" i="1"/>
  <c r="K31" i="1"/>
  <c r="K35" i="1"/>
</calcChain>
</file>

<file path=xl/comments1.xml><?xml version="1.0" encoding="utf-8"?>
<comments xmlns="http://schemas.openxmlformats.org/spreadsheetml/2006/main">
  <authors>
    <author/>
  </authors>
  <commentList>
    <comment ref="S8" authorId="0" shapeId="0">
      <text>
        <r>
          <rPr>
            <sz val="11"/>
            <color theme="1"/>
            <rFont val="Calibri"/>
            <family val="2"/>
            <scheme val="minor"/>
          </rPr>
          <t>======
ID#AAABvo0GQ9I
MiCa    (2026-03-03 21:42:44)
Selecciona el Lugar</t>
        </r>
      </text>
    </comment>
    <comment ref="Z8" authorId="0" shapeId="0">
      <text>
        <r>
          <rPr>
            <sz val="11"/>
            <color theme="1"/>
            <rFont val="Calibri"/>
            <family val="2"/>
            <scheme val="minor"/>
          </rPr>
          <t>======
ID#AAABvoJaxkc
MiCa    (2026-03-03 21:42:44)
Selecciona el tipo de junta</t>
        </r>
      </text>
    </comment>
    <comment ref="G9" authorId="0" shapeId="0">
      <text>
        <r>
          <rPr>
            <sz val="11"/>
            <color theme="1"/>
            <rFont val="Calibri"/>
            <family val="2"/>
            <scheme val="minor"/>
          </rPr>
          <t>======
ID#AAABvoJaxk4
MiCa    (2026-03-03 21:42:44)
Selecciona el Curso</t>
        </r>
      </text>
    </comment>
    <comment ref="I9" authorId="0" shapeId="0">
      <text>
        <r>
          <rPr>
            <sz val="11"/>
            <color theme="1"/>
            <rFont val="Calibri"/>
            <family val="2"/>
            <scheme val="minor"/>
          </rPr>
          <t>======
ID#AAABvoJaxkU
MiCa    (2026-03-03 21:42:44)
Selecciona el Curso</t>
        </r>
      </text>
    </comment>
    <comment ref="K9" authorId="0" shapeId="0">
      <text>
        <r>
          <rPr>
            <sz val="11"/>
            <color theme="1"/>
            <rFont val="Calibri"/>
            <family val="2"/>
            <scheme val="minor"/>
          </rPr>
          <t>======
ID#AAABvo0GQ9Q
MiCa    (2026-03-03 21:42:44)
Selecciona el Curso</t>
        </r>
      </text>
    </comment>
    <comment ref="M9" authorId="0" shapeId="0">
      <text>
        <r>
          <rPr>
            <sz val="11"/>
            <color theme="1"/>
            <rFont val="Calibri"/>
            <family val="2"/>
            <scheme val="minor"/>
          </rPr>
          <t>======
ID#AAABvo0GQ9M
MiCa    (2026-03-03 21:42:44)
Selecciona el Curso</t>
        </r>
      </text>
    </comment>
    <comment ref="Z9" authorId="0" shapeId="0">
      <text>
        <r>
          <rPr>
            <sz val="11"/>
            <color theme="1"/>
            <rFont val="Calibri"/>
            <family val="2"/>
            <scheme val="minor"/>
          </rPr>
          <t>======
ID#AAABvoJaxko
MiCa    (2026-03-03 21:42:44)
Selecciona el tipo de junta</t>
        </r>
      </text>
    </comment>
    <comment ref="R12" authorId="0" shapeId="0">
      <text>
        <r>
          <rPr>
            <sz val="11"/>
            <color theme="1"/>
            <rFont val="Calibri"/>
            <family val="2"/>
            <scheme val="minor"/>
          </rPr>
          <t>======
ID#AAABvoJaxkY
MiCa    (2026-03-03 21:42:44)
Selecciona el tipo de junta</t>
        </r>
      </text>
    </comment>
    <comment ref="S12" authorId="0" shapeId="0">
      <text>
        <r>
          <rPr>
            <sz val="11"/>
            <color theme="1"/>
            <rFont val="Calibri"/>
            <family val="2"/>
            <scheme val="minor"/>
          </rPr>
          <t>======
ID#AAABvoJaxks
MiCa    (2026-03-03 21:42:44)
Selecciona el tipo de junta</t>
        </r>
      </text>
    </comment>
    <comment ref="R13" authorId="0" shapeId="0">
      <text>
        <r>
          <rPr>
            <sz val="11"/>
            <color theme="1"/>
            <rFont val="Calibri"/>
            <family val="2"/>
            <scheme val="minor"/>
          </rPr>
          <t>======
ID#AAABvoJaxkg
MiCa    (2026-03-03 21:42:44)
Selecciona el tipo de junta</t>
        </r>
      </text>
    </comment>
    <comment ref="S13" authorId="0" shapeId="0">
      <text>
        <r>
          <rPr>
            <sz val="11"/>
            <color theme="1"/>
            <rFont val="Calibri"/>
            <family val="2"/>
            <scheme val="minor"/>
          </rPr>
          <t>======
ID#AAABvoJaxlE
MiCa    (2026-03-03 21:42:44)
Selecciona el tipo de junta</t>
        </r>
      </text>
    </comment>
    <comment ref="R14" authorId="0" shapeId="0">
      <text>
        <r>
          <rPr>
            <sz val="11"/>
            <color theme="1"/>
            <rFont val="Calibri"/>
            <family val="2"/>
            <scheme val="minor"/>
          </rPr>
          <t>======
ID#AAABvoJaxkw
MiCa    (2026-03-03 21:42:44)
Selecciona el tipo de junta</t>
        </r>
      </text>
    </comment>
    <comment ref="S14" authorId="0" shapeId="0">
      <text>
        <r>
          <rPr>
            <sz val="11"/>
            <color theme="1"/>
            <rFont val="Calibri"/>
            <family val="2"/>
            <scheme val="minor"/>
          </rPr>
          <t>======
ID#AAABvoJaxlA
MiCa    (2026-03-03 21:42:44)
Selecciona el tipo de junta</t>
        </r>
      </text>
    </comment>
    <comment ref="R15" authorId="0" shapeId="0">
      <text>
        <r>
          <rPr>
            <sz val="11"/>
            <color theme="1"/>
            <rFont val="Calibri"/>
            <family val="2"/>
            <scheme val="minor"/>
          </rPr>
          <t>======
ID#AAABvoJaxk8
MiCa    (2026-03-03 21:42:44)
Selecciona el tipo de junta</t>
        </r>
      </text>
    </comment>
    <comment ref="S15" authorId="0" shapeId="0">
      <text>
        <r>
          <rPr>
            <sz val="11"/>
            <color theme="1"/>
            <rFont val="Calibri"/>
            <family val="2"/>
            <scheme val="minor"/>
          </rPr>
          <t>======
ID#AAABvo0GQ9E
MiCa    (2026-03-03 21:42:44)
Selecciona el tipo de junta</t>
        </r>
      </text>
    </comment>
    <comment ref="R16" authorId="0" shapeId="0">
      <text>
        <r>
          <rPr>
            <sz val="11"/>
            <color theme="1"/>
            <rFont val="Calibri"/>
            <family val="2"/>
            <scheme val="minor"/>
          </rPr>
          <t>======
ID#AAABvoJaxk0
MiCa    (2026-03-03 21:42:44)
Selecciona el tipo de junta</t>
        </r>
      </text>
    </comment>
    <comment ref="S16" authorId="0" shapeId="0">
      <text>
        <r>
          <rPr>
            <sz val="11"/>
            <color theme="1"/>
            <rFont val="Calibri"/>
            <family val="2"/>
            <scheme val="minor"/>
          </rPr>
          <t>======
ID#AAABvoJaxkk
MiCa    (2026-03-03 21:42:44)
Selecciona el tipo de junta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1ibgOpQrHMvIlLT2fE4vDmG0Xw=="/>
    </ext>
  </extLst>
</comments>
</file>

<file path=xl/sharedStrings.xml><?xml version="1.0" encoding="utf-8"?>
<sst xmlns="http://schemas.openxmlformats.org/spreadsheetml/2006/main" count="1194" uniqueCount="155">
  <si>
    <t>UNIDAD EDUCATIVA SALAMANCA</t>
  </si>
  <si>
    <t>Calle el Tiempo y Pasaje Mónaco         Teléfono: 2254818 – 2256311</t>
  </si>
  <si>
    <t>Fundada el 4 de octubre de 1978 - AMIE:17H00215</t>
  </si>
  <si>
    <t xml:space="preserve">Año Lectivo: </t>
  </si>
  <si>
    <t>2025-2026</t>
  </si>
  <si>
    <t>ACTA DE LA JUNTA DE DOCENTES DE GRADO O CURSO</t>
  </si>
  <si>
    <t>1.- Datos Informativos:</t>
  </si>
  <si>
    <t xml:space="preserve">Preside </t>
  </si>
  <si>
    <t xml:space="preserve">Año - Paralelo </t>
  </si>
  <si>
    <t xml:space="preserve">Hora </t>
  </si>
  <si>
    <t>Lugar</t>
  </si>
  <si>
    <t>Tipo de Junta</t>
  </si>
  <si>
    <t>Docente Tutor</t>
  </si>
  <si>
    <t>EGB</t>
  </si>
  <si>
    <t>BGU</t>
  </si>
  <si>
    <t>EPJA TEC</t>
  </si>
  <si>
    <t>TÉCNICO</t>
  </si>
  <si>
    <t>Inicio</t>
  </si>
  <si>
    <t>Fin</t>
  </si>
  <si>
    <t>Sala de Profesores</t>
  </si>
  <si>
    <t>ORDINARIA</t>
  </si>
  <si>
    <t>2DO A</t>
  </si>
  <si>
    <t>EXTRAORDINARIA</t>
  </si>
  <si>
    <t>2.- Orden del Día:</t>
  </si>
  <si>
    <t>Puntos Tratados</t>
  </si>
  <si>
    <t>Si</t>
  </si>
  <si>
    <t>No</t>
  </si>
  <si>
    <t>Observaciones</t>
  </si>
  <si>
    <r>
      <rPr>
        <b/>
        <sz val="8"/>
        <color theme="1"/>
        <rFont val="Century Gothic"/>
        <family val="2"/>
      </rPr>
      <t xml:space="preserve">1.- </t>
    </r>
    <r>
      <rPr>
        <b/>
        <sz val="8"/>
        <color rgb="FF222222"/>
        <rFont val="Century Gothic"/>
        <family val="2"/>
      </rPr>
      <t>Saludo y Bienvenida</t>
    </r>
  </si>
  <si>
    <t>X</t>
  </si>
  <si>
    <r>
      <rPr>
        <b/>
        <sz val="8"/>
        <color theme="1"/>
        <rFont val="Century Gothic"/>
        <family val="2"/>
      </rPr>
      <t xml:space="preserve">2.- </t>
    </r>
    <r>
      <rPr>
        <b/>
        <sz val="8"/>
        <color rgb="FF222222"/>
        <rFont val="Century Gothic"/>
        <family val="2"/>
      </rPr>
      <t>Informe y análisis de Asistencia de Estudiantes</t>
    </r>
  </si>
  <si>
    <r>
      <rPr>
        <b/>
        <sz val="8"/>
        <color theme="1"/>
        <rFont val="Century Gothic"/>
        <family val="2"/>
      </rPr>
      <t xml:space="preserve">3.- </t>
    </r>
    <r>
      <rPr>
        <b/>
        <sz val="8"/>
        <color rgb="FF222222"/>
        <rFont val="Century Gothic"/>
        <family val="2"/>
      </rPr>
      <t>Informe del Rendimiento Académico por Asignatura</t>
    </r>
    <r>
      <rPr>
        <sz val="8"/>
        <color rgb="FF222222"/>
        <rFont val="Century Gothic"/>
        <family val="2"/>
      </rPr>
      <t xml:space="preserve">: </t>
    </r>
  </si>
  <si>
    <r>
      <rPr>
        <b/>
        <sz val="8"/>
        <color theme="1"/>
        <rFont val="Century Gothic"/>
        <family val="2"/>
      </rPr>
      <t>4.- Asuntos Varios</t>
    </r>
    <r>
      <rPr>
        <sz val="8"/>
        <color theme="1"/>
        <rFont val="Century Gothic"/>
        <family val="2"/>
      </rPr>
      <t xml:space="preserve"> </t>
    </r>
  </si>
  <si>
    <t>3.- Control de la Asistencia:</t>
  </si>
  <si>
    <t>Asistentes:</t>
  </si>
  <si>
    <t>Nº</t>
  </si>
  <si>
    <t>Docente</t>
  </si>
  <si>
    <t>Asignatura</t>
  </si>
  <si>
    <t xml:space="preserve">Firma </t>
  </si>
  <si>
    <t>4.- Desarrollo del Acta</t>
  </si>
  <si>
    <t>4.</t>
  </si>
  <si>
    <t xml:space="preserve">Siendo las    _____:_____   horas se da por finalizada la junta de docentes de grado/curso. </t>
  </si>
  <si>
    <t>5.- Firmas de responsabilidad:</t>
  </si>
  <si>
    <t>Elaborado por:</t>
  </si>
  <si>
    <t>Revisado por:</t>
  </si>
  <si>
    <t>Aprobado por:</t>
  </si>
  <si>
    <t>Docente Secretario:</t>
  </si>
  <si>
    <t>Docente Tutor:</t>
  </si>
  <si>
    <r>
      <rPr>
        <b/>
        <sz val="8"/>
        <color theme="1"/>
        <rFont val="Century Gothic"/>
        <family val="2"/>
      </rPr>
      <t xml:space="preserve">Vicerrector: </t>
    </r>
    <r>
      <rPr>
        <sz val="8"/>
        <color theme="1"/>
        <rFont val="Century Gothic"/>
        <family val="2"/>
      </rPr>
      <t>LIC. RÓMULO MEJÍA</t>
    </r>
  </si>
  <si>
    <t>Firma:</t>
  </si>
  <si>
    <t xml:space="preserve">Fecha: </t>
  </si>
  <si>
    <t>Fecha:</t>
  </si>
  <si>
    <t>TUTOR</t>
  </si>
  <si>
    <t>CURSO</t>
  </si>
  <si>
    <t>ING. GONZALO PEÑAHERRERA</t>
  </si>
  <si>
    <t>3RO I. A</t>
  </si>
  <si>
    <t>8VO A</t>
  </si>
  <si>
    <t>LIC. SEBASTIÁN USIÑA</t>
  </si>
  <si>
    <t>ING. GUSTAVO BENAVIDES</t>
  </si>
  <si>
    <t>9NO A</t>
  </si>
  <si>
    <t>LIC. ALICIA SALAZAR</t>
  </si>
  <si>
    <t>10MO A</t>
  </si>
  <si>
    <t>MSC. DIANA JUMBO</t>
  </si>
  <si>
    <t>LIC. JENNY QUIJIA</t>
  </si>
  <si>
    <t>2DO B</t>
  </si>
  <si>
    <t>1RO A</t>
  </si>
  <si>
    <t>MSC. ROBERTO ROSERO</t>
  </si>
  <si>
    <t>LIC. MAYRA HERNÁNDEZ</t>
  </si>
  <si>
    <t>1RO G.F.C. A</t>
  </si>
  <si>
    <t>3RO C.A</t>
  </si>
  <si>
    <t>3RO A</t>
  </si>
  <si>
    <t>LIC. WALTER ZAMBRANO</t>
  </si>
  <si>
    <t>LIC. SONIA HEREDIA</t>
  </si>
  <si>
    <t>2DO C.A</t>
  </si>
  <si>
    <t>3RO B</t>
  </si>
  <si>
    <t>MSC. ISABEL LALAMA</t>
  </si>
  <si>
    <t>1RO S.I. A</t>
  </si>
  <si>
    <t>TLGO. MILTON CABASCANGO</t>
  </si>
  <si>
    <t>2DO I. A</t>
  </si>
  <si>
    <t>Unificado</t>
  </si>
  <si>
    <t xml:space="preserve">Apellidos y Nombres </t>
  </si>
  <si>
    <t>Curso</t>
  </si>
  <si>
    <t>Tutor</t>
  </si>
  <si>
    <t>ESPE</t>
  </si>
  <si>
    <t>ING. BENAVIDES GUSTAVO</t>
  </si>
  <si>
    <t>Matemáticas</t>
  </si>
  <si>
    <t>MSC. CHICAIZA IRENE</t>
  </si>
  <si>
    <t>Educación Cultural y Artística</t>
  </si>
  <si>
    <t>LIC. HEREDIA SONIA</t>
  </si>
  <si>
    <t>Ciencias Naturales</t>
  </si>
  <si>
    <t>MSC. JUMBO DIANA</t>
  </si>
  <si>
    <t>Estudios Sociales</t>
  </si>
  <si>
    <t>LIC. SALAZAR ALICIA</t>
  </si>
  <si>
    <t>Inglés</t>
  </si>
  <si>
    <t>LIC. USIÑA SEBASTIÁN</t>
  </si>
  <si>
    <t>Lengua y Literatura</t>
  </si>
  <si>
    <t>Educación Física</t>
  </si>
  <si>
    <t>Civica y acompañamiento integral en el aula</t>
  </si>
  <si>
    <t>LIC. ANAIS BOLAÑOS</t>
  </si>
  <si>
    <t>DECE</t>
  </si>
  <si>
    <t>LIC. RÓMULO MEJÍA</t>
  </si>
  <si>
    <t>Vicerrector</t>
  </si>
  <si>
    <t>TLGO. CABASCANGO MILTON</t>
  </si>
  <si>
    <t>ING. PEÑAHERRERA GONZALO</t>
  </si>
  <si>
    <t>MSC. ROSERO ROBERTO</t>
  </si>
  <si>
    <t>Física</t>
  </si>
  <si>
    <t>LIC. CALERO ELMO</t>
  </si>
  <si>
    <t>Química</t>
  </si>
  <si>
    <t>Filosofía</t>
  </si>
  <si>
    <t>Educación para la Ciudadanía</t>
  </si>
  <si>
    <t>Historia</t>
  </si>
  <si>
    <t>MSC. LALAMA ISABEL</t>
  </si>
  <si>
    <t>LIC. QUIJIA JENNY</t>
  </si>
  <si>
    <t>Biología</t>
  </si>
  <si>
    <t>LIC. ZAMBRANO WALTER</t>
  </si>
  <si>
    <t>Emprendimiento y Gestión</t>
  </si>
  <si>
    <t>MSC. PROAÑO WILSON</t>
  </si>
  <si>
    <t>Herramientas informáticas empresariales</t>
  </si>
  <si>
    <t>LIC. HERNÁNDEZ MAYRA</t>
  </si>
  <si>
    <t>Gestión contable y administración financiero</t>
  </si>
  <si>
    <t>Gestión y control financiero</t>
  </si>
  <si>
    <t>Legislación tributaria aplicada</t>
  </si>
  <si>
    <t>Planificación y control presupuestario</t>
  </si>
  <si>
    <t>LIC. MEJIA ROMULO</t>
  </si>
  <si>
    <t>Módulo Práctico experimental</t>
  </si>
  <si>
    <t>Emprendimiento e Innovación</t>
  </si>
  <si>
    <t>Inglés técnico aplicado a los negocios</t>
  </si>
  <si>
    <t>Pensamiento computacional y resolución de problemas</t>
  </si>
  <si>
    <t>Sistemas operativos y aplicaciones</t>
  </si>
  <si>
    <t>Soporte Técnico Informático</t>
  </si>
  <si>
    <t>Ética, Legislación y Ciudadanía Digital</t>
  </si>
  <si>
    <t>Fundamentos de la tecnologías de la información y la comunicación</t>
  </si>
  <si>
    <t>Fundamentos básicos de Electricidad y electrónica</t>
  </si>
  <si>
    <t>Paquetes Contables y Tributarios</t>
  </si>
  <si>
    <t>Contabilidad General</t>
  </si>
  <si>
    <t>Tributación</t>
  </si>
  <si>
    <t>Contabilidad de Costos</t>
  </si>
  <si>
    <t>Contabilidad Bancaria</t>
  </si>
  <si>
    <t>Gestión del Talento Humano</t>
  </si>
  <si>
    <t>Formación y Orientación Laboral - FOL</t>
  </si>
  <si>
    <t>Sistemas Operativos y Redes</t>
  </si>
  <si>
    <t>Programación y Bases de Datos</t>
  </si>
  <si>
    <t>Diseño y Desarrollo WEB</t>
  </si>
  <si>
    <t>Soporte Técnico</t>
  </si>
  <si>
    <t>Aplicaciones Ofimáticas Locales y en Línea</t>
  </si>
  <si>
    <t>Año Lectivo</t>
  </si>
  <si>
    <t>Visto</t>
  </si>
  <si>
    <t>2026-2027</t>
  </si>
  <si>
    <t>Sala de Reuniones</t>
  </si>
  <si>
    <t>2027-2028</t>
  </si>
  <si>
    <t>Rectorado</t>
  </si>
  <si>
    <t>2028-2029</t>
  </si>
  <si>
    <t>Secretaría</t>
  </si>
  <si>
    <t>2029-2030</t>
  </si>
  <si>
    <t>Inspección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</si>
</sst>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i/>
      <sz val="10"/>
      <color theme="1"/>
      <name val="Cambria"/>
      <family val="1"/>
    </font>
    <font>
      <sz val="11"/>
      <color theme="1"/>
      <name val="Calibri"/>
      <family val="2"/>
    </font>
    <font>
      <b/>
      <sz val="9"/>
      <color theme="1"/>
      <name val="Century Gothic"/>
      <family val="2"/>
    </font>
    <font>
      <sz val="11"/>
      <name val="Calibri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b/>
      <sz val="7"/>
      <color theme="1"/>
      <name val="Century Gothic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8"/>
      <color rgb="FF222222"/>
      <name val="Century Gothic"/>
      <family val="2"/>
    </font>
    <font>
      <sz val="8"/>
      <color rgb="FF22222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2" borderId="17" xfId="0" applyFont="1" applyFill="1" applyBorder="1" applyAlignment="1">
      <alignment horizontal="right" vertical="center" wrapText="1"/>
    </xf>
    <xf numFmtId="0" fontId="7" fillId="3" borderId="17" xfId="0" applyFont="1" applyFill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6" fillId="0" borderId="5" xfId="0" applyFont="1" applyBorder="1"/>
    <xf numFmtId="0" fontId="6" fillId="0" borderId="6" xfId="0" applyFont="1" applyBorder="1"/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8" fillId="3" borderId="2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6" fillId="0" borderId="23" xfId="0" applyFont="1" applyBorder="1"/>
    <xf numFmtId="0" fontId="0" fillId="0" borderId="0" xfId="0" applyFont="1" applyAlignment="1"/>
    <xf numFmtId="0" fontId="6" fillId="0" borderId="24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4" fillId="0" borderId="7" xfId="0" applyFont="1" applyBorder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/>
    </xf>
    <xf numFmtId="0" fontId="7" fillId="3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6" fillId="0" borderId="19" xfId="0" applyFont="1" applyBorder="1"/>
    <xf numFmtId="0" fontId="6" fillId="0" borderId="20" xfId="0" applyFont="1" applyBorder="1"/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6" fillId="0" borderId="15" xfId="0" applyFont="1" applyBorder="1"/>
    <xf numFmtId="0" fontId="6" fillId="0" borderId="16" xfId="0" applyFont="1" applyBorder="1"/>
    <xf numFmtId="0" fontId="7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9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866775" cy="7620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B1:AD1002"/>
  <sheetViews>
    <sheetView tabSelected="1" workbookViewId="0">
      <selection activeCell="B9" sqref="B9:F9"/>
    </sheetView>
  </sheetViews>
  <sheetFormatPr baseColWidth="10" defaultColWidth="14.44140625" defaultRowHeight="15" customHeight="1" x14ac:dyDescent="0.3"/>
  <cols>
    <col min="1" max="1" width="0.33203125" customWidth="1"/>
    <col min="2" max="13" width="3.6640625" customWidth="1"/>
    <col min="14" max="14" width="4.109375" customWidth="1"/>
    <col min="15" max="20" width="3.6640625" customWidth="1"/>
    <col min="21" max="21" width="6.109375" customWidth="1"/>
    <col min="22" max="24" width="3.6640625" customWidth="1"/>
    <col min="25" max="25" width="6.109375" customWidth="1"/>
    <col min="26" max="26" width="4" customWidth="1"/>
    <col min="27" max="27" width="3.44140625" hidden="1" customWidth="1"/>
    <col min="28" max="30" width="3.6640625" customWidth="1"/>
  </cols>
  <sheetData>
    <row r="1" spans="2:30" ht="17.399999999999999" x14ac:dyDescent="0.3">
      <c r="B1" s="57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1" t="str">
        <f>G9&amp;I9&amp;K9&amp;M9</f>
        <v/>
      </c>
    </row>
    <row r="2" spans="2:30" ht="14.4" x14ac:dyDescent="0.3">
      <c r="B2" s="58" t="s">
        <v>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D2" s="1"/>
    </row>
    <row r="3" spans="2:30" ht="14.4" x14ac:dyDescent="0.3">
      <c r="B3" s="2"/>
      <c r="C3" s="3"/>
      <c r="D3" s="3"/>
      <c r="E3" s="3"/>
      <c r="F3" s="3"/>
      <c r="G3" s="59" t="s">
        <v>2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"/>
      <c r="AD3" s="1"/>
    </row>
    <row r="4" spans="2:30" ht="14.4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S4" s="3"/>
      <c r="T4" s="60" t="s">
        <v>3</v>
      </c>
      <c r="U4" s="31"/>
      <c r="V4" s="31"/>
      <c r="W4" s="60" t="s">
        <v>4</v>
      </c>
      <c r="X4" s="31"/>
      <c r="Y4" s="31"/>
      <c r="Z4" s="31"/>
      <c r="AD4" s="1"/>
    </row>
    <row r="5" spans="2:30" ht="15.75" customHeight="1" x14ac:dyDescent="0.3">
      <c r="B5" s="61" t="s">
        <v>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</row>
    <row r="6" spans="2:30" ht="15.75" customHeight="1" x14ac:dyDescent="0.3">
      <c r="B6" s="54" t="s">
        <v>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/>
    </row>
    <row r="7" spans="2:30" ht="26.25" customHeight="1" x14ac:dyDescent="0.3">
      <c r="B7" s="55" t="s">
        <v>7</v>
      </c>
      <c r="C7" s="18"/>
      <c r="D7" s="18"/>
      <c r="E7" s="18"/>
      <c r="F7" s="19"/>
      <c r="G7" s="55" t="s">
        <v>8</v>
      </c>
      <c r="H7" s="18"/>
      <c r="I7" s="18"/>
      <c r="J7" s="18"/>
      <c r="K7" s="18"/>
      <c r="L7" s="18"/>
      <c r="M7" s="18"/>
      <c r="N7" s="19"/>
      <c r="O7" s="55" t="s">
        <v>9</v>
      </c>
      <c r="P7" s="18"/>
      <c r="Q7" s="18"/>
      <c r="R7" s="19"/>
      <c r="S7" s="55" t="s">
        <v>10</v>
      </c>
      <c r="T7" s="18"/>
      <c r="U7" s="19"/>
      <c r="V7" s="55" t="s">
        <v>11</v>
      </c>
      <c r="W7" s="18"/>
      <c r="X7" s="18"/>
      <c r="Y7" s="18"/>
      <c r="Z7" s="19"/>
    </row>
    <row r="8" spans="2:30" ht="26.25" customHeight="1" x14ac:dyDescent="0.3">
      <c r="B8" s="55" t="s">
        <v>12</v>
      </c>
      <c r="C8" s="18"/>
      <c r="D8" s="18"/>
      <c r="E8" s="18"/>
      <c r="F8" s="19"/>
      <c r="G8" s="55" t="s">
        <v>13</v>
      </c>
      <c r="H8" s="19"/>
      <c r="I8" s="55" t="s">
        <v>14</v>
      </c>
      <c r="J8" s="19"/>
      <c r="K8" s="55" t="s">
        <v>15</v>
      </c>
      <c r="L8" s="19"/>
      <c r="M8" s="55" t="s">
        <v>16</v>
      </c>
      <c r="N8" s="19"/>
      <c r="O8" s="55" t="s">
        <v>17</v>
      </c>
      <c r="P8" s="19"/>
      <c r="Q8" s="55" t="s">
        <v>18</v>
      </c>
      <c r="R8" s="19"/>
      <c r="S8" s="62" t="s">
        <v>19</v>
      </c>
      <c r="T8" s="28"/>
      <c r="U8" s="29"/>
      <c r="V8" s="64" t="s">
        <v>20</v>
      </c>
      <c r="W8" s="18"/>
      <c r="X8" s="18"/>
      <c r="Y8" s="19"/>
      <c r="Z8" s="5"/>
    </row>
    <row r="9" spans="2:30" ht="26.25" customHeight="1" x14ac:dyDescent="0.3">
      <c r="B9" s="20" t="str">
        <f>IFERROR(VLOOKUP(G9&amp;I9&amp;K9&amp;M9,tutor1,2,0),"")</f>
        <v/>
      </c>
      <c r="C9" s="18"/>
      <c r="D9" s="18"/>
      <c r="E9" s="18"/>
      <c r="F9" s="19"/>
      <c r="G9" s="20"/>
      <c r="H9" s="19"/>
      <c r="I9" s="20"/>
      <c r="J9" s="19"/>
      <c r="K9" s="20"/>
      <c r="L9" s="19"/>
      <c r="M9" s="20"/>
      <c r="N9" s="19"/>
      <c r="O9" s="63"/>
      <c r="P9" s="19"/>
      <c r="Q9" s="63"/>
      <c r="R9" s="19"/>
      <c r="S9" s="33"/>
      <c r="T9" s="34"/>
      <c r="U9" s="35"/>
      <c r="V9" s="64" t="s">
        <v>22</v>
      </c>
      <c r="W9" s="18"/>
      <c r="X9" s="18"/>
      <c r="Y9" s="19"/>
      <c r="Z9" s="5"/>
    </row>
    <row r="10" spans="2:30" ht="15.75" customHeight="1" x14ac:dyDescent="0.3">
      <c r="B10" s="51" t="s">
        <v>23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3"/>
    </row>
    <row r="11" spans="2:30" ht="14.4" x14ac:dyDescent="0.3">
      <c r="B11" s="55" t="s">
        <v>24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6" t="s">
        <v>25</v>
      </c>
      <c r="S11" s="7" t="s">
        <v>26</v>
      </c>
      <c r="T11" s="55" t="s">
        <v>27</v>
      </c>
      <c r="U11" s="18"/>
      <c r="V11" s="18"/>
      <c r="W11" s="18"/>
      <c r="X11" s="18"/>
      <c r="Y11" s="18"/>
      <c r="Z11" s="19"/>
    </row>
    <row r="12" spans="2:30" ht="15.75" customHeight="1" x14ac:dyDescent="0.3">
      <c r="B12" s="56" t="s">
        <v>28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8" t="s">
        <v>29</v>
      </c>
      <c r="S12" s="5"/>
      <c r="T12" s="17"/>
      <c r="U12" s="18"/>
      <c r="V12" s="18"/>
      <c r="W12" s="18"/>
      <c r="X12" s="18"/>
      <c r="Y12" s="18"/>
      <c r="Z12" s="19"/>
    </row>
    <row r="13" spans="2:30" ht="15.75" customHeight="1" x14ac:dyDescent="0.3">
      <c r="B13" s="56" t="s">
        <v>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  <c r="R13" s="8" t="s">
        <v>29</v>
      </c>
      <c r="S13" s="5"/>
      <c r="T13" s="17"/>
      <c r="U13" s="18"/>
      <c r="V13" s="18"/>
      <c r="W13" s="18"/>
      <c r="X13" s="18"/>
      <c r="Y13" s="18"/>
      <c r="Z13" s="19"/>
    </row>
    <row r="14" spans="2:30" ht="15.75" customHeight="1" x14ac:dyDescent="0.3">
      <c r="B14" s="56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9"/>
      <c r="R14" s="8" t="s">
        <v>29</v>
      </c>
      <c r="S14" s="5"/>
      <c r="T14" s="17"/>
      <c r="U14" s="18"/>
      <c r="V14" s="18"/>
      <c r="W14" s="18"/>
      <c r="X14" s="18"/>
      <c r="Y14" s="18"/>
      <c r="Z14" s="19"/>
    </row>
    <row r="15" spans="2:30" ht="15" customHeight="1" x14ac:dyDescent="0.3">
      <c r="B15" s="56" t="s">
        <v>32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9"/>
      <c r="R15" s="8" t="s">
        <v>29</v>
      </c>
      <c r="S15" s="5"/>
      <c r="T15" s="17"/>
      <c r="U15" s="18"/>
      <c r="V15" s="18"/>
      <c r="W15" s="18"/>
      <c r="X15" s="18"/>
      <c r="Y15" s="18"/>
      <c r="Z15" s="19"/>
    </row>
    <row r="16" spans="2:30" ht="15.75" customHeight="1" x14ac:dyDescent="0.3">
      <c r="B16" s="56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9"/>
      <c r="R16" s="8"/>
      <c r="S16" s="5"/>
      <c r="T16" s="17"/>
      <c r="U16" s="18"/>
      <c r="V16" s="18"/>
      <c r="W16" s="18"/>
      <c r="X16" s="18"/>
      <c r="Y16" s="18"/>
      <c r="Z16" s="19"/>
    </row>
    <row r="17" spans="2:26" ht="15.75" customHeight="1" x14ac:dyDescent="0.3">
      <c r="B17" s="56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9"/>
      <c r="R17" s="5"/>
      <c r="S17" s="5"/>
      <c r="T17" s="17"/>
      <c r="U17" s="18"/>
      <c r="V17" s="18"/>
      <c r="W17" s="18"/>
      <c r="X17" s="18"/>
      <c r="Y17" s="18"/>
      <c r="Z17" s="19"/>
    </row>
    <row r="18" spans="2:26" ht="14.4" x14ac:dyDescent="0.3">
      <c r="B18" s="50" t="s">
        <v>33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2"/>
    </row>
    <row r="19" spans="2:26" ht="14.4" x14ac:dyDescent="0.3">
      <c r="B19" s="54" t="s">
        <v>34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9"/>
    </row>
    <row r="20" spans="2:26" ht="15.75" customHeight="1" x14ac:dyDescent="0.3">
      <c r="B20" s="6" t="s">
        <v>35</v>
      </c>
      <c r="C20" s="55" t="s">
        <v>36</v>
      </c>
      <c r="D20" s="18"/>
      <c r="E20" s="18"/>
      <c r="F20" s="18"/>
      <c r="G20" s="18"/>
      <c r="H20" s="18"/>
      <c r="I20" s="18"/>
      <c r="J20" s="19"/>
      <c r="K20" s="55" t="s">
        <v>37</v>
      </c>
      <c r="L20" s="18"/>
      <c r="M20" s="18"/>
      <c r="N20" s="18"/>
      <c r="O20" s="18"/>
      <c r="P20" s="18"/>
      <c r="Q20" s="19"/>
      <c r="R20" s="55" t="s">
        <v>38</v>
      </c>
      <c r="S20" s="18"/>
      <c r="T20" s="18"/>
      <c r="U20" s="19"/>
      <c r="V20" s="55" t="s">
        <v>27</v>
      </c>
      <c r="W20" s="18"/>
      <c r="X20" s="18"/>
      <c r="Y20" s="18"/>
      <c r="Z20" s="19"/>
    </row>
    <row r="21" spans="2:26" ht="22.5" customHeight="1" x14ac:dyDescent="0.3">
      <c r="B21" s="9">
        <v>1</v>
      </c>
      <c r="C21" s="17" t="str">
        <f t="shared" ref="C21:C39" si="0">IFERROR(VLOOKUP($AA$1&amp;B21,asigna,3,0),"")</f>
        <v/>
      </c>
      <c r="D21" s="18"/>
      <c r="E21" s="18"/>
      <c r="F21" s="18"/>
      <c r="G21" s="18"/>
      <c r="H21" s="18"/>
      <c r="I21" s="18"/>
      <c r="J21" s="19"/>
      <c r="K21" s="17" t="str">
        <f t="shared" ref="K21:K39" si="1">IFERROR(VLOOKUP($AA$1&amp;B21,asigna,4,0),"")</f>
        <v/>
      </c>
      <c r="L21" s="18"/>
      <c r="M21" s="18"/>
      <c r="N21" s="18"/>
      <c r="O21" s="18"/>
      <c r="P21" s="18"/>
      <c r="Q21" s="19"/>
      <c r="R21" s="20"/>
      <c r="S21" s="18"/>
      <c r="T21" s="18"/>
      <c r="U21" s="19"/>
      <c r="V21" s="17"/>
      <c r="W21" s="18"/>
      <c r="X21" s="18"/>
      <c r="Y21" s="18"/>
      <c r="Z21" s="19"/>
    </row>
    <row r="22" spans="2:26" ht="22.5" customHeight="1" x14ac:dyDescent="0.3">
      <c r="B22" s="9">
        <v>2</v>
      </c>
      <c r="C22" s="17" t="str">
        <f t="shared" si="0"/>
        <v/>
      </c>
      <c r="D22" s="18"/>
      <c r="E22" s="18"/>
      <c r="F22" s="18"/>
      <c r="G22" s="18"/>
      <c r="H22" s="18"/>
      <c r="I22" s="18"/>
      <c r="J22" s="19"/>
      <c r="K22" s="17" t="str">
        <f t="shared" si="1"/>
        <v/>
      </c>
      <c r="L22" s="18"/>
      <c r="M22" s="18"/>
      <c r="N22" s="18"/>
      <c r="O22" s="18"/>
      <c r="P22" s="18"/>
      <c r="Q22" s="19"/>
      <c r="R22" s="20"/>
      <c r="S22" s="18"/>
      <c r="T22" s="18"/>
      <c r="U22" s="19"/>
      <c r="V22" s="17"/>
      <c r="W22" s="18"/>
      <c r="X22" s="18"/>
      <c r="Y22" s="18"/>
      <c r="Z22" s="19"/>
    </row>
    <row r="23" spans="2:26" ht="22.5" customHeight="1" x14ac:dyDescent="0.3">
      <c r="B23" s="9">
        <v>3</v>
      </c>
      <c r="C23" s="17" t="str">
        <f t="shared" si="0"/>
        <v/>
      </c>
      <c r="D23" s="18"/>
      <c r="E23" s="18"/>
      <c r="F23" s="18"/>
      <c r="G23" s="18"/>
      <c r="H23" s="18"/>
      <c r="I23" s="18"/>
      <c r="J23" s="19"/>
      <c r="K23" s="17" t="str">
        <f t="shared" si="1"/>
        <v/>
      </c>
      <c r="L23" s="18"/>
      <c r="M23" s="18"/>
      <c r="N23" s="18"/>
      <c r="O23" s="18"/>
      <c r="P23" s="18"/>
      <c r="Q23" s="19"/>
      <c r="R23" s="20"/>
      <c r="S23" s="18"/>
      <c r="T23" s="18"/>
      <c r="U23" s="19"/>
      <c r="V23" s="17"/>
      <c r="W23" s="18"/>
      <c r="X23" s="18"/>
      <c r="Y23" s="18"/>
      <c r="Z23" s="19"/>
    </row>
    <row r="24" spans="2:26" ht="22.5" customHeight="1" x14ac:dyDescent="0.3">
      <c r="B24" s="9">
        <v>4</v>
      </c>
      <c r="C24" s="17" t="str">
        <f t="shared" si="0"/>
        <v/>
      </c>
      <c r="D24" s="18"/>
      <c r="E24" s="18"/>
      <c r="F24" s="18"/>
      <c r="G24" s="18"/>
      <c r="H24" s="18"/>
      <c r="I24" s="18"/>
      <c r="J24" s="19"/>
      <c r="K24" s="17" t="str">
        <f t="shared" si="1"/>
        <v/>
      </c>
      <c r="L24" s="18"/>
      <c r="M24" s="18"/>
      <c r="N24" s="18"/>
      <c r="O24" s="18"/>
      <c r="P24" s="18"/>
      <c r="Q24" s="19"/>
      <c r="R24" s="20"/>
      <c r="S24" s="18"/>
      <c r="T24" s="18"/>
      <c r="U24" s="19"/>
      <c r="V24" s="17"/>
      <c r="W24" s="18"/>
      <c r="X24" s="18"/>
      <c r="Y24" s="18"/>
      <c r="Z24" s="19"/>
    </row>
    <row r="25" spans="2:26" ht="22.5" customHeight="1" x14ac:dyDescent="0.3">
      <c r="B25" s="9">
        <v>5</v>
      </c>
      <c r="C25" s="17" t="str">
        <f t="shared" si="0"/>
        <v/>
      </c>
      <c r="D25" s="18"/>
      <c r="E25" s="18"/>
      <c r="F25" s="18"/>
      <c r="G25" s="18"/>
      <c r="H25" s="18"/>
      <c r="I25" s="18"/>
      <c r="J25" s="19"/>
      <c r="K25" s="17" t="str">
        <f t="shared" si="1"/>
        <v/>
      </c>
      <c r="L25" s="18"/>
      <c r="M25" s="18"/>
      <c r="N25" s="18"/>
      <c r="O25" s="18"/>
      <c r="P25" s="18"/>
      <c r="Q25" s="19"/>
      <c r="R25" s="20"/>
      <c r="S25" s="18"/>
      <c r="T25" s="18"/>
      <c r="U25" s="19"/>
      <c r="V25" s="17"/>
      <c r="W25" s="18"/>
      <c r="X25" s="18"/>
      <c r="Y25" s="18"/>
      <c r="Z25" s="19"/>
    </row>
    <row r="26" spans="2:26" ht="22.5" customHeight="1" x14ac:dyDescent="0.3">
      <c r="B26" s="9">
        <v>6</v>
      </c>
      <c r="C26" s="17" t="str">
        <f t="shared" si="0"/>
        <v/>
      </c>
      <c r="D26" s="18"/>
      <c r="E26" s="18"/>
      <c r="F26" s="18"/>
      <c r="G26" s="18"/>
      <c r="H26" s="18"/>
      <c r="I26" s="18"/>
      <c r="J26" s="19"/>
      <c r="K26" s="17" t="str">
        <f t="shared" si="1"/>
        <v/>
      </c>
      <c r="L26" s="18"/>
      <c r="M26" s="18"/>
      <c r="N26" s="18"/>
      <c r="O26" s="18"/>
      <c r="P26" s="18"/>
      <c r="Q26" s="19"/>
      <c r="R26" s="20"/>
      <c r="S26" s="18"/>
      <c r="T26" s="18"/>
      <c r="U26" s="19"/>
      <c r="V26" s="17"/>
      <c r="W26" s="18"/>
      <c r="X26" s="18"/>
      <c r="Y26" s="18"/>
      <c r="Z26" s="19"/>
    </row>
    <row r="27" spans="2:26" ht="22.5" customHeight="1" x14ac:dyDescent="0.3">
      <c r="B27" s="9">
        <v>7</v>
      </c>
      <c r="C27" s="17" t="str">
        <f t="shared" si="0"/>
        <v/>
      </c>
      <c r="D27" s="18"/>
      <c r="E27" s="18"/>
      <c r="F27" s="18"/>
      <c r="G27" s="18"/>
      <c r="H27" s="18"/>
      <c r="I27" s="18"/>
      <c r="J27" s="19"/>
      <c r="K27" s="17" t="str">
        <f t="shared" si="1"/>
        <v/>
      </c>
      <c r="L27" s="18"/>
      <c r="M27" s="18"/>
      <c r="N27" s="18"/>
      <c r="O27" s="18"/>
      <c r="P27" s="18"/>
      <c r="Q27" s="19"/>
      <c r="R27" s="20"/>
      <c r="S27" s="18"/>
      <c r="T27" s="18"/>
      <c r="U27" s="19"/>
      <c r="V27" s="17"/>
      <c r="W27" s="18"/>
      <c r="X27" s="18"/>
      <c r="Y27" s="18"/>
      <c r="Z27" s="19"/>
    </row>
    <row r="28" spans="2:26" ht="22.5" customHeight="1" x14ac:dyDescent="0.3">
      <c r="B28" s="9">
        <v>8</v>
      </c>
      <c r="C28" s="17" t="str">
        <f t="shared" si="0"/>
        <v/>
      </c>
      <c r="D28" s="18"/>
      <c r="E28" s="18"/>
      <c r="F28" s="18"/>
      <c r="G28" s="18"/>
      <c r="H28" s="18"/>
      <c r="I28" s="18"/>
      <c r="J28" s="19"/>
      <c r="K28" s="17" t="str">
        <f t="shared" si="1"/>
        <v/>
      </c>
      <c r="L28" s="18"/>
      <c r="M28" s="18"/>
      <c r="N28" s="18"/>
      <c r="O28" s="18"/>
      <c r="P28" s="18"/>
      <c r="Q28" s="19"/>
      <c r="R28" s="20"/>
      <c r="S28" s="18"/>
      <c r="T28" s="18"/>
      <c r="U28" s="19"/>
      <c r="V28" s="17"/>
      <c r="W28" s="18"/>
      <c r="X28" s="18"/>
      <c r="Y28" s="18"/>
      <c r="Z28" s="19"/>
    </row>
    <row r="29" spans="2:26" ht="22.5" customHeight="1" x14ac:dyDescent="0.3">
      <c r="B29" s="9">
        <v>9</v>
      </c>
      <c r="C29" s="17" t="str">
        <f t="shared" si="0"/>
        <v/>
      </c>
      <c r="D29" s="18"/>
      <c r="E29" s="18"/>
      <c r="F29" s="18"/>
      <c r="G29" s="18"/>
      <c r="H29" s="18"/>
      <c r="I29" s="18"/>
      <c r="J29" s="19"/>
      <c r="K29" s="17" t="str">
        <f t="shared" si="1"/>
        <v/>
      </c>
      <c r="L29" s="18"/>
      <c r="M29" s="18"/>
      <c r="N29" s="18"/>
      <c r="O29" s="18"/>
      <c r="P29" s="18"/>
      <c r="Q29" s="19"/>
      <c r="R29" s="20"/>
      <c r="S29" s="18"/>
      <c r="T29" s="18"/>
      <c r="U29" s="19"/>
      <c r="V29" s="17"/>
      <c r="W29" s="18"/>
      <c r="X29" s="18"/>
      <c r="Y29" s="18"/>
      <c r="Z29" s="19"/>
    </row>
    <row r="30" spans="2:26" ht="22.5" customHeight="1" x14ac:dyDescent="0.3">
      <c r="B30" s="9">
        <v>10</v>
      </c>
      <c r="C30" s="17" t="str">
        <f t="shared" si="0"/>
        <v/>
      </c>
      <c r="D30" s="18"/>
      <c r="E30" s="18"/>
      <c r="F30" s="18"/>
      <c r="G30" s="18"/>
      <c r="H30" s="18"/>
      <c r="I30" s="18"/>
      <c r="J30" s="19"/>
      <c r="K30" s="17" t="str">
        <f t="shared" si="1"/>
        <v/>
      </c>
      <c r="L30" s="18"/>
      <c r="M30" s="18"/>
      <c r="N30" s="18"/>
      <c r="O30" s="18"/>
      <c r="P30" s="18"/>
      <c r="Q30" s="19"/>
      <c r="R30" s="20"/>
      <c r="S30" s="18"/>
      <c r="T30" s="18"/>
      <c r="U30" s="19"/>
      <c r="V30" s="17"/>
      <c r="W30" s="18"/>
      <c r="X30" s="18"/>
      <c r="Y30" s="18"/>
      <c r="Z30" s="19"/>
    </row>
    <row r="31" spans="2:26" ht="22.5" customHeight="1" x14ac:dyDescent="0.3">
      <c r="B31" s="9">
        <v>11</v>
      </c>
      <c r="C31" s="17" t="str">
        <f t="shared" si="0"/>
        <v/>
      </c>
      <c r="D31" s="18"/>
      <c r="E31" s="18"/>
      <c r="F31" s="18"/>
      <c r="G31" s="18"/>
      <c r="H31" s="18"/>
      <c r="I31" s="18"/>
      <c r="J31" s="19"/>
      <c r="K31" s="17" t="str">
        <f t="shared" si="1"/>
        <v/>
      </c>
      <c r="L31" s="18"/>
      <c r="M31" s="18"/>
      <c r="N31" s="18"/>
      <c r="O31" s="18"/>
      <c r="P31" s="18"/>
      <c r="Q31" s="19"/>
      <c r="R31" s="20"/>
      <c r="S31" s="18"/>
      <c r="T31" s="18"/>
      <c r="U31" s="19"/>
      <c r="V31" s="17"/>
      <c r="W31" s="18"/>
      <c r="X31" s="18"/>
      <c r="Y31" s="18"/>
      <c r="Z31" s="19"/>
    </row>
    <row r="32" spans="2:26" ht="22.5" customHeight="1" x14ac:dyDescent="0.3">
      <c r="B32" s="9">
        <v>12</v>
      </c>
      <c r="C32" s="17" t="str">
        <f t="shared" si="0"/>
        <v/>
      </c>
      <c r="D32" s="18"/>
      <c r="E32" s="18"/>
      <c r="F32" s="18"/>
      <c r="G32" s="18"/>
      <c r="H32" s="18"/>
      <c r="I32" s="18"/>
      <c r="J32" s="19"/>
      <c r="K32" s="17" t="str">
        <f t="shared" si="1"/>
        <v/>
      </c>
      <c r="L32" s="18"/>
      <c r="M32" s="18"/>
      <c r="N32" s="18"/>
      <c r="O32" s="18"/>
      <c r="P32" s="18"/>
      <c r="Q32" s="19"/>
      <c r="R32" s="20"/>
      <c r="S32" s="18"/>
      <c r="T32" s="18"/>
      <c r="U32" s="19"/>
      <c r="V32" s="17"/>
      <c r="W32" s="18"/>
      <c r="X32" s="18"/>
      <c r="Y32" s="18"/>
      <c r="Z32" s="19"/>
    </row>
    <row r="33" spans="2:26" ht="22.5" customHeight="1" x14ac:dyDescent="0.3">
      <c r="B33" s="9">
        <v>13</v>
      </c>
      <c r="C33" s="17" t="str">
        <f t="shared" si="0"/>
        <v/>
      </c>
      <c r="D33" s="18"/>
      <c r="E33" s="18"/>
      <c r="F33" s="18"/>
      <c r="G33" s="18"/>
      <c r="H33" s="18"/>
      <c r="I33" s="18"/>
      <c r="J33" s="19"/>
      <c r="K33" s="17" t="str">
        <f t="shared" si="1"/>
        <v/>
      </c>
      <c r="L33" s="18"/>
      <c r="M33" s="18"/>
      <c r="N33" s="18"/>
      <c r="O33" s="18"/>
      <c r="P33" s="18"/>
      <c r="Q33" s="19"/>
      <c r="R33" s="20"/>
      <c r="S33" s="18"/>
      <c r="T33" s="18"/>
      <c r="U33" s="19"/>
      <c r="V33" s="17"/>
      <c r="W33" s="18"/>
      <c r="X33" s="18"/>
      <c r="Y33" s="18"/>
      <c r="Z33" s="19"/>
    </row>
    <row r="34" spans="2:26" ht="22.5" customHeight="1" x14ac:dyDescent="0.3">
      <c r="B34" s="9">
        <v>14</v>
      </c>
      <c r="C34" s="17" t="str">
        <f t="shared" si="0"/>
        <v/>
      </c>
      <c r="D34" s="18"/>
      <c r="E34" s="18"/>
      <c r="F34" s="18"/>
      <c r="G34" s="18"/>
      <c r="H34" s="18"/>
      <c r="I34" s="18"/>
      <c r="J34" s="19"/>
      <c r="K34" s="17" t="str">
        <f t="shared" si="1"/>
        <v/>
      </c>
      <c r="L34" s="18"/>
      <c r="M34" s="18"/>
      <c r="N34" s="18"/>
      <c r="O34" s="18"/>
      <c r="P34" s="18"/>
      <c r="Q34" s="19"/>
      <c r="R34" s="20"/>
      <c r="S34" s="18"/>
      <c r="T34" s="18"/>
      <c r="U34" s="19"/>
      <c r="V34" s="17"/>
      <c r="W34" s="18"/>
      <c r="X34" s="18"/>
      <c r="Y34" s="18"/>
      <c r="Z34" s="19"/>
    </row>
    <row r="35" spans="2:26" ht="22.5" customHeight="1" x14ac:dyDescent="0.3">
      <c r="B35" s="9">
        <v>15</v>
      </c>
      <c r="C35" s="17" t="str">
        <f t="shared" si="0"/>
        <v/>
      </c>
      <c r="D35" s="18"/>
      <c r="E35" s="18"/>
      <c r="F35" s="18"/>
      <c r="G35" s="18"/>
      <c r="H35" s="18"/>
      <c r="I35" s="18"/>
      <c r="J35" s="19"/>
      <c r="K35" s="17" t="str">
        <f t="shared" si="1"/>
        <v/>
      </c>
      <c r="L35" s="18"/>
      <c r="M35" s="18"/>
      <c r="N35" s="18"/>
      <c r="O35" s="18"/>
      <c r="P35" s="18"/>
      <c r="Q35" s="19"/>
      <c r="R35" s="20"/>
      <c r="S35" s="18"/>
      <c r="T35" s="18"/>
      <c r="U35" s="19"/>
      <c r="V35" s="17"/>
      <c r="W35" s="18"/>
      <c r="X35" s="18"/>
      <c r="Y35" s="18"/>
      <c r="Z35" s="19"/>
    </row>
    <row r="36" spans="2:26" ht="22.5" customHeight="1" x14ac:dyDescent="0.3">
      <c r="B36" s="9">
        <v>16</v>
      </c>
      <c r="C36" s="17" t="str">
        <f t="shared" si="0"/>
        <v/>
      </c>
      <c r="D36" s="18"/>
      <c r="E36" s="18"/>
      <c r="F36" s="18"/>
      <c r="G36" s="18"/>
      <c r="H36" s="18"/>
      <c r="I36" s="18"/>
      <c r="J36" s="19"/>
      <c r="K36" s="17" t="str">
        <f t="shared" si="1"/>
        <v/>
      </c>
      <c r="L36" s="18"/>
      <c r="M36" s="18"/>
      <c r="N36" s="18"/>
      <c r="O36" s="18"/>
      <c r="P36" s="18"/>
      <c r="Q36" s="19"/>
      <c r="R36" s="20"/>
      <c r="S36" s="18"/>
      <c r="T36" s="18"/>
      <c r="U36" s="19"/>
      <c r="V36" s="17"/>
      <c r="W36" s="18"/>
      <c r="X36" s="18"/>
      <c r="Y36" s="18"/>
      <c r="Z36" s="19"/>
    </row>
    <row r="37" spans="2:26" ht="22.5" customHeight="1" x14ac:dyDescent="0.3">
      <c r="B37" s="9">
        <v>17</v>
      </c>
      <c r="C37" s="17" t="str">
        <f t="shared" si="0"/>
        <v/>
      </c>
      <c r="D37" s="18"/>
      <c r="E37" s="18"/>
      <c r="F37" s="18"/>
      <c r="G37" s="18"/>
      <c r="H37" s="18"/>
      <c r="I37" s="18"/>
      <c r="J37" s="19"/>
      <c r="K37" s="17" t="str">
        <f t="shared" si="1"/>
        <v/>
      </c>
      <c r="L37" s="18"/>
      <c r="M37" s="18"/>
      <c r="N37" s="18"/>
      <c r="O37" s="18"/>
      <c r="P37" s="18"/>
      <c r="Q37" s="19"/>
      <c r="R37" s="20"/>
      <c r="S37" s="18"/>
      <c r="T37" s="18"/>
      <c r="U37" s="19"/>
      <c r="V37" s="17"/>
      <c r="W37" s="18"/>
      <c r="X37" s="18"/>
      <c r="Y37" s="18"/>
      <c r="Z37" s="19"/>
    </row>
    <row r="38" spans="2:26" ht="22.5" customHeight="1" x14ac:dyDescent="0.3">
      <c r="B38" s="9">
        <v>18</v>
      </c>
      <c r="C38" s="17" t="str">
        <f t="shared" si="0"/>
        <v/>
      </c>
      <c r="D38" s="18"/>
      <c r="E38" s="18"/>
      <c r="F38" s="18"/>
      <c r="G38" s="18"/>
      <c r="H38" s="18"/>
      <c r="I38" s="18"/>
      <c r="J38" s="19"/>
      <c r="K38" s="17" t="str">
        <f t="shared" si="1"/>
        <v/>
      </c>
      <c r="L38" s="18"/>
      <c r="M38" s="18"/>
      <c r="N38" s="18"/>
      <c r="O38" s="18"/>
      <c r="P38" s="18"/>
      <c r="Q38" s="19"/>
      <c r="R38" s="20"/>
      <c r="S38" s="18"/>
      <c r="T38" s="18"/>
      <c r="U38" s="19"/>
      <c r="V38" s="17"/>
      <c r="W38" s="18"/>
      <c r="X38" s="18"/>
      <c r="Y38" s="18"/>
      <c r="Z38" s="19"/>
    </row>
    <row r="39" spans="2:26" ht="22.5" customHeight="1" x14ac:dyDescent="0.3">
      <c r="B39" s="9">
        <v>19</v>
      </c>
      <c r="C39" s="17" t="str">
        <f t="shared" si="0"/>
        <v/>
      </c>
      <c r="D39" s="18"/>
      <c r="E39" s="18"/>
      <c r="F39" s="18"/>
      <c r="G39" s="18"/>
      <c r="H39" s="18"/>
      <c r="I39" s="18"/>
      <c r="J39" s="19"/>
      <c r="K39" s="17" t="str">
        <f t="shared" si="1"/>
        <v/>
      </c>
      <c r="L39" s="18"/>
      <c r="M39" s="18"/>
      <c r="N39" s="18"/>
      <c r="O39" s="18"/>
      <c r="P39" s="18"/>
      <c r="Q39" s="19"/>
      <c r="R39" s="20"/>
      <c r="S39" s="18"/>
      <c r="T39" s="18"/>
      <c r="U39" s="19"/>
      <c r="V39" s="17"/>
      <c r="W39" s="18"/>
      <c r="X39" s="18"/>
      <c r="Y39" s="18"/>
      <c r="Z39" s="19"/>
    </row>
    <row r="40" spans="2:26" ht="15.75" customHeight="1" x14ac:dyDescent="0.3">
      <c r="B40" s="10"/>
      <c r="C40" s="11"/>
      <c r="D40" s="11"/>
      <c r="E40" s="11"/>
      <c r="F40" s="11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2"/>
      <c r="V40" s="2"/>
      <c r="W40" s="2"/>
      <c r="X40" s="2"/>
    </row>
    <row r="41" spans="2:26" ht="6.75" customHeight="1" x14ac:dyDescent="0.3">
      <c r="B41" s="10"/>
      <c r="C41" s="11"/>
      <c r="D41" s="11"/>
      <c r="E41" s="11"/>
      <c r="F41" s="11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2"/>
      <c r="V41" s="2"/>
      <c r="W41" s="2"/>
      <c r="X41" s="2"/>
    </row>
    <row r="42" spans="2:26" ht="15.75" customHeight="1" x14ac:dyDescent="0.3">
      <c r="B42" s="50" t="s">
        <v>39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2"/>
    </row>
    <row r="43" spans="2:26" ht="15.75" customHeight="1" x14ac:dyDescent="0.3">
      <c r="B43" s="12" t="s">
        <v>40</v>
      </c>
      <c r="C43" s="50" t="str">
        <f>B12</f>
        <v>1.- Saludo y Bienvenida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</row>
    <row r="44" spans="2:26" ht="15.75" customHeight="1" x14ac:dyDescent="0.3">
      <c r="B44" s="43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2:26" ht="15.75" customHeight="1" x14ac:dyDescent="0.3">
      <c r="B45" s="4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2:26" ht="15.75" customHeight="1" x14ac:dyDescent="0.3">
      <c r="B46" s="4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2:26" ht="15.75" customHeight="1" x14ac:dyDescent="0.3">
      <c r="B47" s="4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2:26" ht="15" customHeight="1" x14ac:dyDescent="0.3">
      <c r="B48" s="12" t="s">
        <v>40</v>
      </c>
      <c r="C48" s="50" t="str">
        <f>B13</f>
        <v>2.- Informe y análisis de Asistencia de Estudiantes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2"/>
    </row>
    <row r="49" spans="2:26" ht="15.75" customHeight="1" x14ac:dyDescent="0.3">
      <c r="B49" s="4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2:26" ht="15.75" customHeight="1" x14ac:dyDescent="0.3">
      <c r="B50" s="4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2:26" ht="15.75" customHeight="1" x14ac:dyDescent="0.3">
      <c r="B51" s="4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2:26" ht="15.75" customHeight="1" x14ac:dyDescent="0.3">
      <c r="B52" s="4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2:26" ht="15.75" customHeight="1" x14ac:dyDescent="0.3">
      <c r="B53" s="4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2:26" ht="15" customHeight="1" x14ac:dyDescent="0.3">
      <c r="B54" s="12" t="s">
        <v>40</v>
      </c>
      <c r="C54" s="51" t="str">
        <f>B14</f>
        <v xml:space="preserve">3.- Informe del Rendimiento Académico por Asignatura: 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3"/>
    </row>
    <row r="55" spans="2:26" ht="15.75" customHeight="1" x14ac:dyDescent="0.3">
      <c r="B55" s="4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2:26" ht="15.75" customHeight="1" x14ac:dyDescent="0.3">
      <c r="B56" s="4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2:26" ht="15.75" customHeight="1" x14ac:dyDescent="0.3">
      <c r="B57" s="43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2:26" ht="15.75" customHeight="1" x14ac:dyDescent="0.3">
      <c r="B58" s="43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2:26" ht="15.75" customHeight="1" x14ac:dyDescent="0.3">
      <c r="B59" s="43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2:26" ht="15.75" customHeight="1" x14ac:dyDescent="0.3">
      <c r="B60" s="43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2:26" ht="15.75" customHeight="1" x14ac:dyDescent="0.3">
      <c r="B61" s="43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2:26" ht="15.75" customHeight="1" x14ac:dyDescent="0.3">
      <c r="B62" s="43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2:26" ht="15.75" customHeight="1" x14ac:dyDescent="0.3">
      <c r="B63" s="43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2:26" ht="15.75" customHeight="1" x14ac:dyDescent="0.3">
      <c r="B64" s="43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2:26" ht="15.75" customHeight="1" x14ac:dyDescent="0.3">
      <c r="B65" s="43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2:26" ht="15.75" customHeight="1" x14ac:dyDescent="0.3">
      <c r="B66" s="43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2:26" ht="15.75" customHeight="1" x14ac:dyDescent="0.3">
      <c r="B67" s="4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2:26" ht="15.75" customHeight="1" x14ac:dyDescent="0.3">
      <c r="B68" s="43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2:26" ht="15.75" customHeight="1" x14ac:dyDescent="0.3">
      <c r="B69" s="43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2:26" ht="15.75" customHeight="1" x14ac:dyDescent="0.3">
      <c r="B70" s="4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2:26" ht="15.75" customHeight="1" x14ac:dyDescent="0.3">
      <c r="B71" s="43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2:26" ht="15.75" customHeight="1" x14ac:dyDescent="0.3">
      <c r="B72" s="43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2:26" ht="15.75" customHeight="1" x14ac:dyDescent="0.3">
      <c r="B73" s="43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2:26" ht="15.75" customHeight="1" x14ac:dyDescent="0.3">
      <c r="B74" s="4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2:26" ht="15.75" customHeight="1" x14ac:dyDescent="0.3">
      <c r="B75" s="43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2:26" ht="15.75" customHeight="1" x14ac:dyDescent="0.3">
      <c r="B76" s="43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2:26" ht="9" customHeight="1" x14ac:dyDescent="0.3">
      <c r="B77" s="49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2:26" ht="15" customHeight="1" x14ac:dyDescent="0.3">
      <c r="B78" s="13" t="s">
        <v>40</v>
      </c>
      <c r="C78" s="40" t="str">
        <f>B15</f>
        <v xml:space="preserve">4.- Asuntos Varios 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2"/>
    </row>
    <row r="79" spans="2:26" ht="15.75" customHeight="1" x14ac:dyDescent="0.3">
      <c r="B79" s="43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2:26" ht="15.75" customHeight="1" x14ac:dyDescent="0.3">
      <c r="B80" s="43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2:26" ht="15.75" customHeight="1" x14ac:dyDescent="0.3">
      <c r="B81" s="43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2:26" ht="15.75" customHeight="1" x14ac:dyDescent="0.3">
      <c r="B82" s="43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2:26" ht="15.75" customHeight="1" x14ac:dyDescent="0.3">
      <c r="B83" s="43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2:26" ht="15.75" customHeight="1" x14ac:dyDescent="0.3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2:26" ht="15.75" customHeight="1" x14ac:dyDescent="0.3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2:26" ht="15.75" customHeight="1" x14ac:dyDescent="0.3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2:26" ht="15.75" customHeight="1" x14ac:dyDescent="0.3">
      <c r="B87" s="4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2:26" ht="15" customHeight="1" x14ac:dyDescent="0.3">
      <c r="B88" s="44" t="s">
        <v>41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2:26" ht="15.75" customHeight="1" x14ac:dyDescent="0.3">
      <c r="B89" s="45" t="s">
        <v>42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7"/>
    </row>
    <row r="90" spans="2:26" ht="15.75" customHeight="1" x14ac:dyDescent="0.3">
      <c r="B90" s="21" t="s">
        <v>43</v>
      </c>
      <c r="C90" s="18"/>
      <c r="D90" s="18"/>
      <c r="E90" s="18"/>
      <c r="F90" s="18"/>
      <c r="G90" s="18"/>
      <c r="H90" s="18"/>
      <c r="I90" s="18"/>
      <c r="J90" s="19"/>
      <c r="K90" s="21" t="s">
        <v>44</v>
      </c>
      <c r="L90" s="18"/>
      <c r="M90" s="18"/>
      <c r="N90" s="18"/>
      <c r="O90" s="18"/>
      <c r="P90" s="18"/>
      <c r="Q90" s="18"/>
      <c r="R90" s="18"/>
      <c r="S90" s="19"/>
      <c r="T90" s="21" t="s">
        <v>45</v>
      </c>
      <c r="U90" s="18"/>
      <c r="V90" s="18"/>
      <c r="W90" s="18"/>
      <c r="X90" s="18"/>
      <c r="Y90" s="18"/>
      <c r="Z90" s="19"/>
    </row>
    <row r="91" spans="2:26" ht="22.5" customHeight="1" x14ac:dyDescent="0.3">
      <c r="B91" s="21" t="s">
        <v>46</v>
      </c>
      <c r="C91" s="18"/>
      <c r="D91" s="19"/>
      <c r="E91" s="21"/>
      <c r="F91" s="18"/>
      <c r="G91" s="18"/>
      <c r="H91" s="18"/>
      <c r="I91" s="18"/>
      <c r="J91" s="19"/>
      <c r="K91" s="21" t="s">
        <v>47</v>
      </c>
      <c r="L91" s="22"/>
      <c r="M91" s="23" t="str">
        <f>B9</f>
        <v/>
      </c>
      <c r="N91" s="18"/>
      <c r="O91" s="18"/>
      <c r="P91" s="18"/>
      <c r="Q91" s="18"/>
      <c r="R91" s="18"/>
      <c r="S91" s="19"/>
      <c r="T91" s="24" t="s">
        <v>48</v>
      </c>
      <c r="U91" s="18"/>
      <c r="V91" s="18"/>
      <c r="W91" s="18"/>
      <c r="X91" s="18"/>
      <c r="Y91" s="18"/>
      <c r="Z91" s="19"/>
    </row>
    <row r="92" spans="2:26" ht="15.75" customHeight="1" x14ac:dyDescent="0.3">
      <c r="B92" s="20" t="s">
        <v>49</v>
      </c>
      <c r="C92" s="18"/>
      <c r="D92" s="18"/>
      <c r="E92" s="18"/>
      <c r="F92" s="18"/>
      <c r="G92" s="18"/>
      <c r="H92" s="18"/>
      <c r="I92" s="18"/>
      <c r="J92" s="19"/>
      <c r="K92" s="20" t="s">
        <v>49</v>
      </c>
      <c r="L92" s="18"/>
      <c r="M92" s="18"/>
      <c r="N92" s="18"/>
      <c r="O92" s="18"/>
      <c r="P92" s="18"/>
      <c r="Q92" s="18"/>
      <c r="R92" s="18"/>
      <c r="S92" s="19"/>
      <c r="T92" s="20" t="s">
        <v>49</v>
      </c>
      <c r="U92" s="18"/>
      <c r="V92" s="18"/>
      <c r="W92" s="18"/>
      <c r="X92" s="18"/>
      <c r="Y92" s="18"/>
      <c r="Z92" s="19"/>
    </row>
    <row r="93" spans="2:26" ht="15.75" customHeight="1" x14ac:dyDescent="0.3">
      <c r="B93" s="27"/>
      <c r="C93" s="28"/>
      <c r="D93" s="28"/>
      <c r="E93" s="28"/>
      <c r="F93" s="28"/>
      <c r="G93" s="28"/>
      <c r="H93" s="28"/>
      <c r="I93" s="28"/>
      <c r="J93" s="29"/>
      <c r="K93" s="36"/>
      <c r="L93" s="28"/>
      <c r="M93" s="28"/>
      <c r="N93" s="28"/>
      <c r="O93" s="28"/>
      <c r="P93" s="28"/>
      <c r="Q93" s="28"/>
      <c r="R93" s="28"/>
      <c r="S93" s="29"/>
      <c r="T93" s="36"/>
      <c r="U93" s="28"/>
      <c r="V93" s="28"/>
      <c r="W93" s="28"/>
      <c r="X93" s="28"/>
      <c r="Y93" s="28"/>
      <c r="Z93" s="29"/>
    </row>
    <row r="94" spans="2:26" ht="15.75" customHeight="1" x14ac:dyDescent="0.3">
      <c r="B94" s="30"/>
      <c r="C94" s="31"/>
      <c r="D94" s="31"/>
      <c r="E94" s="31"/>
      <c r="F94" s="31"/>
      <c r="G94" s="31"/>
      <c r="H94" s="31"/>
      <c r="I94" s="31"/>
      <c r="J94" s="32"/>
      <c r="K94" s="30"/>
      <c r="L94" s="31"/>
      <c r="M94" s="31"/>
      <c r="N94" s="31"/>
      <c r="O94" s="31"/>
      <c r="P94" s="31"/>
      <c r="Q94" s="31"/>
      <c r="R94" s="31"/>
      <c r="S94" s="32"/>
      <c r="T94" s="30"/>
      <c r="U94" s="31"/>
      <c r="V94" s="31"/>
      <c r="W94" s="31"/>
      <c r="X94" s="31"/>
      <c r="Y94" s="31"/>
      <c r="Z94" s="32"/>
    </row>
    <row r="95" spans="2:26" ht="15.75" customHeight="1" x14ac:dyDescent="0.3">
      <c r="B95" s="33"/>
      <c r="C95" s="34"/>
      <c r="D95" s="34"/>
      <c r="E95" s="34"/>
      <c r="F95" s="34"/>
      <c r="G95" s="34"/>
      <c r="H95" s="34"/>
      <c r="I95" s="34"/>
      <c r="J95" s="35"/>
      <c r="K95" s="33"/>
      <c r="L95" s="34"/>
      <c r="M95" s="34"/>
      <c r="N95" s="34"/>
      <c r="O95" s="34"/>
      <c r="P95" s="34"/>
      <c r="Q95" s="34"/>
      <c r="R95" s="34"/>
      <c r="S95" s="35"/>
      <c r="T95" s="33"/>
      <c r="U95" s="34"/>
      <c r="V95" s="34"/>
      <c r="W95" s="34"/>
      <c r="X95" s="34"/>
      <c r="Y95" s="34"/>
      <c r="Z95" s="35"/>
    </row>
    <row r="96" spans="2:26" ht="14.25" customHeight="1" x14ac:dyDescent="0.3">
      <c r="B96" s="37" t="s">
        <v>50</v>
      </c>
      <c r="C96" s="19"/>
      <c r="D96" s="38"/>
      <c r="E96" s="18"/>
      <c r="F96" s="18"/>
      <c r="G96" s="18"/>
      <c r="H96" s="18"/>
      <c r="I96" s="18"/>
      <c r="J96" s="19"/>
      <c r="K96" s="39" t="s">
        <v>51</v>
      </c>
      <c r="L96" s="19"/>
      <c r="M96" s="25"/>
      <c r="N96" s="18"/>
      <c r="O96" s="18"/>
      <c r="P96" s="18"/>
      <c r="Q96" s="18"/>
      <c r="R96" s="18"/>
      <c r="S96" s="19"/>
      <c r="T96" s="26" t="s">
        <v>51</v>
      </c>
      <c r="U96" s="19"/>
      <c r="V96" s="25"/>
      <c r="W96" s="18"/>
      <c r="X96" s="18"/>
      <c r="Y96" s="18"/>
      <c r="Z96" s="19"/>
    </row>
    <row r="97" ht="3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91">
    <mergeCell ref="B1:Z1"/>
    <mergeCell ref="B2:Z2"/>
    <mergeCell ref="G3:W3"/>
    <mergeCell ref="T4:V4"/>
    <mergeCell ref="W4:Z4"/>
    <mergeCell ref="B5:Z5"/>
    <mergeCell ref="B6:Z6"/>
    <mergeCell ref="M8:N8"/>
    <mergeCell ref="O8:P8"/>
    <mergeCell ref="S8:U9"/>
    <mergeCell ref="M9:N9"/>
    <mergeCell ref="O9:P9"/>
    <mergeCell ref="Q9:R9"/>
    <mergeCell ref="V7:Z7"/>
    <mergeCell ref="V8:Y8"/>
    <mergeCell ref="V9:Y9"/>
    <mergeCell ref="B7:F7"/>
    <mergeCell ref="G7:N7"/>
    <mergeCell ref="O7:R7"/>
    <mergeCell ref="S7:U7"/>
    <mergeCell ref="B8:F8"/>
    <mergeCell ref="G8:H8"/>
    <mergeCell ref="Q8:R8"/>
    <mergeCell ref="I8:J8"/>
    <mergeCell ref="K8:L8"/>
    <mergeCell ref="B9:F9"/>
    <mergeCell ref="G9:H9"/>
    <mergeCell ref="I9:J9"/>
    <mergeCell ref="K9:L9"/>
    <mergeCell ref="B10:Z10"/>
    <mergeCell ref="B11:Q11"/>
    <mergeCell ref="T11:Z11"/>
    <mergeCell ref="B12:Q12"/>
    <mergeCell ref="T12:Z12"/>
    <mergeCell ref="B13:Q13"/>
    <mergeCell ref="T13:Z13"/>
    <mergeCell ref="T14:Z14"/>
    <mergeCell ref="B14:Q14"/>
    <mergeCell ref="B15:Q15"/>
    <mergeCell ref="T15:Z15"/>
    <mergeCell ref="B16:Q16"/>
    <mergeCell ref="T16:Z16"/>
    <mergeCell ref="B17:Q17"/>
    <mergeCell ref="T17:Z17"/>
    <mergeCell ref="R22:U22"/>
    <mergeCell ref="V22:Z22"/>
    <mergeCell ref="R23:U23"/>
    <mergeCell ref="V23:Z23"/>
    <mergeCell ref="K23:Q23"/>
    <mergeCell ref="K24:Q24"/>
    <mergeCell ref="R24:U24"/>
    <mergeCell ref="V24:Z24"/>
    <mergeCell ref="B18:Z18"/>
    <mergeCell ref="B19:Z19"/>
    <mergeCell ref="C20:J20"/>
    <mergeCell ref="K20:Q20"/>
    <mergeCell ref="R20:U20"/>
    <mergeCell ref="V20:Z20"/>
    <mergeCell ref="V21:Z21"/>
    <mergeCell ref="K21:Q21"/>
    <mergeCell ref="R21:U21"/>
    <mergeCell ref="C21:J21"/>
    <mergeCell ref="R25:U25"/>
    <mergeCell ref="V25:Z25"/>
    <mergeCell ref="R28:U28"/>
    <mergeCell ref="V28:Z28"/>
    <mergeCell ref="V29:Z29"/>
    <mergeCell ref="V30:Z30"/>
    <mergeCell ref="K26:Q26"/>
    <mergeCell ref="R26:U26"/>
    <mergeCell ref="V26:Z26"/>
    <mergeCell ref="K27:Q27"/>
    <mergeCell ref="R27:U27"/>
    <mergeCell ref="V27:Z27"/>
    <mergeCell ref="K28:Q28"/>
    <mergeCell ref="R29:U29"/>
    <mergeCell ref="C22:J22"/>
    <mergeCell ref="C23:J23"/>
    <mergeCell ref="C24:J24"/>
    <mergeCell ref="C25:J25"/>
    <mergeCell ref="C26:J26"/>
    <mergeCell ref="C27:J27"/>
    <mergeCell ref="C28:J28"/>
    <mergeCell ref="C29:J29"/>
    <mergeCell ref="K29:Q29"/>
    <mergeCell ref="K25:Q25"/>
    <mergeCell ref="K22:Q22"/>
    <mergeCell ref="C30:J30"/>
    <mergeCell ref="K30:Q30"/>
    <mergeCell ref="R30:U30"/>
    <mergeCell ref="C39:J39"/>
    <mergeCell ref="K39:Q39"/>
    <mergeCell ref="R39:U39"/>
    <mergeCell ref="V39:Z39"/>
    <mergeCell ref="B42:Z42"/>
    <mergeCell ref="C43:Z43"/>
    <mergeCell ref="C31:J31"/>
    <mergeCell ref="K31:Q31"/>
    <mergeCell ref="R31:U31"/>
    <mergeCell ref="V31:Z31"/>
    <mergeCell ref="K32:Q32"/>
    <mergeCell ref="R32:U32"/>
    <mergeCell ref="V32:Z32"/>
    <mergeCell ref="R34:U34"/>
    <mergeCell ref="V34:Z34"/>
    <mergeCell ref="C32:J32"/>
    <mergeCell ref="C33:J33"/>
    <mergeCell ref="K33:Q33"/>
    <mergeCell ref="R33:U33"/>
    <mergeCell ref="V33:Z33"/>
    <mergeCell ref="C34:J34"/>
    <mergeCell ref="B44:Z44"/>
    <mergeCell ref="B45:Z45"/>
    <mergeCell ref="B46:Z46"/>
    <mergeCell ref="B47:Z47"/>
    <mergeCell ref="B55:Z55"/>
    <mergeCell ref="B56:Z56"/>
    <mergeCell ref="B57:Z57"/>
    <mergeCell ref="B58:Z58"/>
    <mergeCell ref="B59:Z59"/>
    <mergeCell ref="C48:Z48"/>
    <mergeCell ref="B49:Z49"/>
    <mergeCell ref="B50:Z50"/>
    <mergeCell ref="B51:Z51"/>
    <mergeCell ref="B52:Z52"/>
    <mergeCell ref="B53:Z53"/>
    <mergeCell ref="C54:Z54"/>
    <mergeCell ref="B60:Z60"/>
    <mergeCell ref="B61:Z61"/>
    <mergeCell ref="B62:Z62"/>
    <mergeCell ref="B63:Z63"/>
    <mergeCell ref="B64:Z64"/>
    <mergeCell ref="B65:Z65"/>
    <mergeCell ref="B66:Z66"/>
    <mergeCell ref="B67:Z67"/>
    <mergeCell ref="B68:Z68"/>
    <mergeCell ref="B69:Z69"/>
    <mergeCell ref="B70:Z70"/>
    <mergeCell ref="B71:Z71"/>
    <mergeCell ref="B72:Z72"/>
    <mergeCell ref="B73:Z73"/>
    <mergeCell ref="B74:Z74"/>
    <mergeCell ref="B75:Z75"/>
    <mergeCell ref="B76:Z76"/>
    <mergeCell ref="B77:Z77"/>
    <mergeCell ref="C78:Z78"/>
    <mergeCell ref="B79:Z79"/>
    <mergeCell ref="B80:Z80"/>
    <mergeCell ref="B81:Z81"/>
    <mergeCell ref="B82:Z82"/>
    <mergeCell ref="B83:Z83"/>
    <mergeCell ref="B88:Z88"/>
    <mergeCell ref="B89:Z89"/>
    <mergeCell ref="B90:J90"/>
    <mergeCell ref="K90:S90"/>
    <mergeCell ref="T90:Z90"/>
    <mergeCell ref="B87:Z87"/>
    <mergeCell ref="B91:D91"/>
    <mergeCell ref="E91:J91"/>
    <mergeCell ref="K91:L91"/>
    <mergeCell ref="M91:S91"/>
    <mergeCell ref="T91:Z91"/>
    <mergeCell ref="K92:S92"/>
    <mergeCell ref="T92:Z92"/>
    <mergeCell ref="M96:S96"/>
    <mergeCell ref="T96:U96"/>
    <mergeCell ref="B92:J92"/>
    <mergeCell ref="B93:J95"/>
    <mergeCell ref="K93:S95"/>
    <mergeCell ref="T93:Z95"/>
    <mergeCell ref="B96:C96"/>
    <mergeCell ref="D96:J96"/>
    <mergeCell ref="K96:L96"/>
    <mergeCell ref="V96:Z96"/>
    <mergeCell ref="K34:Q34"/>
    <mergeCell ref="C35:J35"/>
    <mergeCell ref="K35:Q35"/>
    <mergeCell ref="R35:U35"/>
    <mergeCell ref="V35:Z35"/>
    <mergeCell ref="K36:Q36"/>
    <mergeCell ref="R36:U36"/>
    <mergeCell ref="V36:Z36"/>
    <mergeCell ref="R38:U38"/>
    <mergeCell ref="V38:Z38"/>
    <mergeCell ref="C36:J36"/>
    <mergeCell ref="C37:J37"/>
    <mergeCell ref="K37:Q37"/>
    <mergeCell ref="R37:U37"/>
    <mergeCell ref="V37:Z37"/>
    <mergeCell ref="C38:J38"/>
    <mergeCell ref="K38:Q38"/>
  </mergeCells>
  <dataValidations count="2">
    <dataValidation type="list" allowBlank="1" showErrorMessage="1" sqref="S8">
      <formula1>Lugar</formula1>
    </dataValidation>
    <dataValidation type="list" allowBlank="1" showErrorMessage="1" sqref="W4">
      <formula1>Año</formula1>
    </dataValidation>
  </dataValidations>
  <pageMargins left="0.23622047244094491" right="0.23622047244094491" top="0.35433070866141736" bottom="0.35433070866141736" header="0" footer="0"/>
  <pageSetup paperSize="9" orientation="portrait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Tutores!$D$5:$D$9</xm:f>
          </x14:formula1>
          <xm:sqref>I9</xm:sqref>
        </x14:dataValidation>
        <x14:dataValidation type="list" allowBlank="1" showErrorMessage="1">
          <x14:formula1>
            <xm:f>Tutores!$D$12:$D$15</xm:f>
          </x14:formula1>
          <xm:sqref>M9</xm:sqref>
        </x14:dataValidation>
        <x14:dataValidation type="list" allowBlank="1" showErrorMessage="1">
          <x14:formula1>
            <xm:f>Tutores!$D$10:$D$11</xm:f>
          </x14:formula1>
          <xm:sqref>K9</xm:sqref>
        </x14:dataValidation>
        <x14:dataValidation type="list" allowBlank="1" showErrorMessage="1">
          <x14:formula1>
            <xm:f>Datos!$D$2:$D$3</xm:f>
          </x14:formula1>
          <xm:sqref>Z8:Z9 R12:S17</xm:sqref>
        </x14:dataValidation>
        <x14:dataValidation type="list" allowBlank="1" showErrorMessage="1">
          <x14:formula1>
            <xm:f>Tutores!$D$2:$D$4</xm:f>
          </x14:formula1>
          <xm:sqref>G9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1000"/>
  <sheetViews>
    <sheetView workbookViewId="0"/>
  </sheetViews>
  <sheetFormatPr baseColWidth="10" defaultColWidth="14.44140625" defaultRowHeight="15" customHeight="1" x14ac:dyDescent="0.3"/>
  <cols>
    <col min="1" max="1" width="32.5546875" customWidth="1"/>
    <col min="2" max="3" width="10.6640625" customWidth="1"/>
    <col min="4" max="4" width="11.88671875" customWidth="1"/>
    <col min="5" max="5" width="32.5546875" customWidth="1"/>
    <col min="6" max="26" width="10.6640625" customWidth="1"/>
  </cols>
  <sheetData>
    <row r="1" spans="1:5" ht="14.4" x14ac:dyDescent="0.3">
      <c r="A1" s="1" t="s">
        <v>52</v>
      </c>
      <c r="B1" s="1" t="s">
        <v>53</v>
      </c>
      <c r="D1" s="1" t="s">
        <v>53</v>
      </c>
      <c r="E1" s="1" t="s">
        <v>52</v>
      </c>
    </row>
    <row r="2" spans="1:5" ht="14.25" customHeight="1" x14ac:dyDescent="0.3">
      <c r="A2" s="15" t="s">
        <v>54</v>
      </c>
      <c r="B2" s="1" t="s">
        <v>55</v>
      </c>
      <c r="D2" s="1" t="s">
        <v>56</v>
      </c>
      <c r="E2" s="16" t="s">
        <v>57</v>
      </c>
    </row>
    <row r="3" spans="1:5" ht="14.4" x14ac:dyDescent="0.3">
      <c r="A3" s="15" t="s">
        <v>58</v>
      </c>
      <c r="B3" s="1" t="s">
        <v>21</v>
      </c>
      <c r="D3" s="1" t="s">
        <v>59</v>
      </c>
      <c r="E3" s="15" t="s">
        <v>60</v>
      </c>
    </row>
    <row r="4" spans="1:5" ht="14.4" x14ac:dyDescent="0.3">
      <c r="A4" s="15" t="s">
        <v>60</v>
      </c>
      <c r="B4" s="1" t="s">
        <v>59</v>
      </c>
      <c r="D4" s="1" t="s">
        <v>61</v>
      </c>
      <c r="E4" s="15" t="s">
        <v>62</v>
      </c>
    </row>
    <row r="5" spans="1:5" ht="14.4" x14ac:dyDescent="0.3">
      <c r="A5" s="15" t="s">
        <v>63</v>
      </c>
      <c r="B5" s="1" t="s">
        <v>64</v>
      </c>
      <c r="D5" s="1" t="s">
        <v>65</v>
      </c>
      <c r="E5" s="15" t="s">
        <v>66</v>
      </c>
    </row>
    <row r="6" spans="1:5" ht="14.4" x14ac:dyDescent="0.3">
      <c r="A6" s="15" t="s">
        <v>67</v>
      </c>
      <c r="B6" s="1" t="s">
        <v>68</v>
      </c>
      <c r="D6" s="1" t="s">
        <v>21</v>
      </c>
      <c r="E6" s="15" t="s">
        <v>58</v>
      </c>
    </row>
    <row r="7" spans="1:5" ht="14.4" x14ac:dyDescent="0.3">
      <c r="A7" s="15" t="s">
        <v>67</v>
      </c>
      <c r="B7" s="1" t="s">
        <v>69</v>
      </c>
      <c r="D7" s="1" t="s">
        <v>64</v>
      </c>
      <c r="E7" s="15" t="s">
        <v>63</v>
      </c>
    </row>
    <row r="8" spans="1:5" ht="14.4" x14ac:dyDescent="0.3">
      <c r="A8" s="16" t="s">
        <v>57</v>
      </c>
      <c r="B8" s="1" t="s">
        <v>56</v>
      </c>
      <c r="D8" s="1" t="s">
        <v>70</v>
      </c>
      <c r="E8" s="15" t="s">
        <v>71</v>
      </c>
    </row>
    <row r="9" spans="1:5" ht="14.4" x14ac:dyDescent="0.3">
      <c r="A9" s="15" t="s">
        <v>72</v>
      </c>
      <c r="B9" s="1" t="s">
        <v>73</v>
      </c>
      <c r="D9" s="1" t="s">
        <v>74</v>
      </c>
      <c r="E9" s="16" t="s">
        <v>75</v>
      </c>
    </row>
    <row r="10" spans="1:5" ht="14.4" x14ac:dyDescent="0.3">
      <c r="A10" s="15" t="s">
        <v>71</v>
      </c>
      <c r="B10" s="1" t="s">
        <v>70</v>
      </c>
      <c r="D10" s="1" t="s">
        <v>68</v>
      </c>
      <c r="E10" s="15" t="s">
        <v>67</v>
      </c>
    </row>
    <row r="11" spans="1:5" ht="14.4" x14ac:dyDescent="0.3">
      <c r="A11" s="15" t="s">
        <v>62</v>
      </c>
      <c r="B11" s="1" t="s">
        <v>61</v>
      </c>
      <c r="D11" s="1" t="s">
        <v>76</v>
      </c>
      <c r="E11" s="15" t="s">
        <v>77</v>
      </c>
    </row>
    <row r="12" spans="1:5" ht="14.4" x14ac:dyDescent="0.3">
      <c r="A12" s="16" t="s">
        <v>75</v>
      </c>
      <c r="B12" s="1" t="s">
        <v>74</v>
      </c>
      <c r="D12" s="1" t="s">
        <v>73</v>
      </c>
      <c r="E12" s="15" t="s">
        <v>72</v>
      </c>
    </row>
    <row r="13" spans="1:5" ht="14.4" x14ac:dyDescent="0.3">
      <c r="A13" s="15" t="s">
        <v>66</v>
      </c>
      <c r="B13" s="1" t="s">
        <v>65</v>
      </c>
      <c r="D13" s="1" t="s">
        <v>69</v>
      </c>
      <c r="E13" s="15" t="s">
        <v>67</v>
      </c>
    </row>
    <row r="14" spans="1:5" ht="14.4" x14ac:dyDescent="0.3">
      <c r="A14" s="15" t="s">
        <v>77</v>
      </c>
      <c r="B14" s="1" t="s">
        <v>76</v>
      </c>
      <c r="D14" s="1" t="s">
        <v>78</v>
      </c>
      <c r="E14" s="15" t="s">
        <v>77</v>
      </c>
    </row>
    <row r="15" spans="1:5" ht="14.4" x14ac:dyDescent="0.3">
      <c r="A15" s="15" t="s">
        <v>77</v>
      </c>
      <c r="B15" s="1" t="s">
        <v>78</v>
      </c>
      <c r="D15" s="1" t="s">
        <v>55</v>
      </c>
      <c r="E15" s="15" t="s">
        <v>54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G1000"/>
  <sheetViews>
    <sheetView workbookViewId="0"/>
  </sheetViews>
  <sheetFormatPr baseColWidth="10" defaultColWidth="14.44140625" defaultRowHeight="15" customHeight="1" x14ac:dyDescent="0.3"/>
  <cols>
    <col min="1" max="1" width="9.6640625" customWidth="1"/>
    <col min="2" max="2" width="10.6640625" customWidth="1"/>
    <col min="3" max="3" width="35.33203125" customWidth="1"/>
    <col min="4" max="4" width="23.88671875" customWidth="1"/>
    <col min="5" max="5" width="10.6640625" customWidth="1"/>
    <col min="6" max="6" width="32.5546875" customWidth="1"/>
    <col min="7" max="26" width="10.6640625" customWidth="1"/>
  </cols>
  <sheetData>
    <row r="1" spans="1:7" ht="14.4" x14ac:dyDescent="0.3">
      <c r="A1" s="1" t="s">
        <v>79</v>
      </c>
      <c r="B1" s="1" t="s">
        <v>26</v>
      </c>
      <c r="C1" s="1" t="s">
        <v>80</v>
      </c>
      <c r="D1" s="1" t="s">
        <v>37</v>
      </c>
      <c r="E1" s="1" t="s">
        <v>81</v>
      </c>
      <c r="F1" s="1" t="s">
        <v>82</v>
      </c>
      <c r="G1" s="1" t="s">
        <v>83</v>
      </c>
    </row>
    <row r="2" spans="1:7" ht="14.4" x14ac:dyDescent="0.3">
      <c r="A2" s="1" t="str">
        <f t="shared" ref="A2:A230" si="0">E2&amp;B2</f>
        <v>8VO A1</v>
      </c>
      <c r="B2" s="1">
        <v>1</v>
      </c>
      <c r="C2" s="1" t="s">
        <v>84</v>
      </c>
      <c r="D2" s="1" t="s">
        <v>85</v>
      </c>
      <c r="E2" s="1" t="s">
        <v>56</v>
      </c>
      <c r="F2" s="16" t="s">
        <v>57</v>
      </c>
      <c r="G2" s="1" t="s">
        <v>13</v>
      </c>
    </row>
    <row r="3" spans="1:7" ht="14.4" x14ac:dyDescent="0.3">
      <c r="A3" s="1" t="str">
        <f t="shared" si="0"/>
        <v>8VO A2</v>
      </c>
      <c r="B3" s="1">
        <v>2</v>
      </c>
      <c r="C3" s="1" t="s">
        <v>86</v>
      </c>
      <c r="D3" s="1" t="s">
        <v>87</v>
      </c>
      <c r="E3" s="1" t="s">
        <v>56</v>
      </c>
      <c r="F3" s="16" t="s">
        <v>57</v>
      </c>
      <c r="G3" s="1" t="s">
        <v>13</v>
      </c>
    </row>
    <row r="4" spans="1:7" ht="14.4" x14ac:dyDescent="0.3">
      <c r="A4" s="1" t="str">
        <f t="shared" si="0"/>
        <v>8VO A3</v>
      </c>
      <c r="B4" s="1">
        <v>3</v>
      </c>
      <c r="C4" s="1" t="s">
        <v>88</v>
      </c>
      <c r="D4" s="1" t="s">
        <v>89</v>
      </c>
      <c r="E4" s="1" t="s">
        <v>56</v>
      </c>
      <c r="F4" s="16" t="s">
        <v>57</v>
      </c>
      <c r="G4" s="1" t="s">
        <v>13</v>
      </c>
    </row>
    <row r="5" spans="1:7" ht="14.4" x14ac:dyDescent="0.3">
      <c r="A5" s="1" t="str">
        <f t="shared" si="0"/>
        <v>8VO A4</v>
      </c>
      <c r="B5" s="1">
        <v>4</v>
      </c>
      <c r="C5" s="1" t="s">
        <v>90</v>
      </c>
      <c r="D5" s="1" t="s">
        <v>91</v>
      </c>
      <c r="E5" s="1" t="s">
        <v>56</v>
      </c>
      <c r="F5" s="16" t="s">
        <v>57</v>
      </c>
      <c r="G5" s="1" t="s">
        <v>13</v>
      </c>
    </row>
    <row r="6" spans="1:7" ht="14.4" x14ac:dyDescent="0.3">
      <c r="A6" s="1" t="str">
        <f t="shared" si="0"/>
        <v>8VO A5</v>
      </c>
      <c r="B6" s="1">
        <v>5</v>
      </c>
      <c r="C6" s="1" t="s">
        <v>92</v>
      </c>
      <c r="D6" s="1" t="s">
        <v>93</v>
      </c>
      <c r="E6" s="1" t="s">
        <v>56</v>
      </c>
      <c r="F6" s="16" t="s">
        <v>57</v>
      </c>
      <c r="G6" s="1" t="s">
        <v>13</v>
      </c>
    </row>
    <row r="7" spans="1:7" ht="14.4" x14ac:dyDescent="0.3">
      <c r="A7" s="1" t="str">
        <f t="shared" si="0"/>
        <v>8VO A6</v>
      </c>
      <c r="B7" s="1">
        <v>6</v>
      </c>
      <c r="C7" s="1" t="s">
        <v>94</v>
      </c>
      <c r="D7" s="1" t="s">
        <v>95</v>
      </c>
      <c r="E7" s="1" t="s">
        <v>56</v>
      </c>
      <c r="F7" s="16" t="s">
        <v>57</v>
      </c>
      <c r="G7" s="1" t="s">
        <v>13</v>
      </c>
    </row>
    <row r="8" spans="1:7" ht="14.4" x14ac:dyDescent="0.3">
      <c r="A8" s="1" t="str">
        <f t="shared" si="0"/>
        <v>8VO A7</v>
      </c>
      <c r="B8" s="1">
        <v>7</v>
      </c>
      <c r="C8" s="1" t="s">
        <v>94</v>
      </c>
      <c r="D8" s="1" t="s">
        <v>96</v>
      </c>
      <c r="E8" s="1" t="s">
        <v>56</v>
      </c>
      <c r="F8" s="16" t="s">
        <v>57</v>
      </c>
      <c r="G8" s="1" t="s">
        <v>13</v>
      </c>
    </row>
    <row r="9" spans="1:7" ht="14.4" x14ac:dyDescent="0.3">
      <c r="A9" s="1" t="str">
        <f t="shared" si="0"/>
        <v>8VO A8</v>
      </c>
      <c r="B9" s="1">
        <v>8</v>
      </c>
      <c r="C9" s="1" t="s">
        <v>94</v>
      </c>
      <c r="D9" s="1" t="s">
        <v>97</v>
      </c>
      <c r="E9" s="1" t="s">
        <v>56</v>
      </c>
      <c r="F9" s="16" t="s">
        <v>57</v>
      </c>
      <c r="G9" s="1" t="s">
        <v>13</v>
      </c>
    </row>
    <row r="10" spans="1:7" ht="14.4" x14ac:dyDescent="0.3">
      <c r="A10" s="1" t="str">
        <f t="shared" si="0"/>
        <v>8VO A9</v>
      </c>
      <c r="B10" s="1">
        <v>9</v>
      </c>
      <c r="C10" s="1" t="s">
        <v>98</v>
      </c>
      <c r="D10" s="1" t="s">
        <v>99</v>
      </c>
      <c r="E10" s="1" t="s">
        <v>56</v>
      </c>
      <c r="F10" s="16" t="s">
        <v>57</v>
      </c>
      <c r="G10" s="1" t="s">
        <v>13</v>
      </c>
    </row>
    <row r="11" spans="1:7" ht="14.4" x14ac:dyDescent="0.3">
      <c r="A11" s="1" t="str">
        <f t="shared" si="0"/>
        <v>8VO A10</v>
      </c>
      <c r="B11" s="1">
        <v>10</v>
      </c>
      <c r="C11" s="1" t="s">
        <v>100</v>
      </c>
      <c r="D11" s="1" t="s">
        <v>101</v>
      </c>
      <c r="E11" s="1" t="s">
        <v>56</v>
      </c>
      <c r="F11" s="16" t="s">
        <v>57</v>
      </c>
      <c r="G11" s="1" t="s">
        <v>13</v>
      </c>
    </row>
    <row r="12" spans="1:7" ht="14.4" x14ac:dyDescent="0.3">
      <c r="A12" s="1" t="str">
        <f t="shared" si="0"/>
        <v>9NO A1</v>
      </c>
      <c r="B12" s="1">
        <v>1</v>
      </c>
      <c r="C12" s="1" t="s">
        <v>102</v>
      </c>
      <c r="D12" s="1" t="s">
        <v>85</v>
      </c>
      <c r="E12" s="1" t="s">
        <v>59</v>
      </c>
      <c r="F12" s="15" t="s">
        <v>60</v>
      </c>
      <c r="G12" s="1" t="s">
        <v>13</v>
      </c>
    </row>
    <row r="13" spans="1:7" ht="14.4" x14ac:dyDescent="0.3">
      <c r="A13" s="1" t="str">
        <f t="shared" si="0"/>
        <v>9NO A2</v>
      </c>
      <c r="B13" s="1">
        <v>2</v>
      </c>
      <c r="C13" s="1" t="s">
        <v>86</v>
      </c>
      <c r="D13" s="1" t="s">
        <v>91</v>
      </c>
      <c r="E13" s="1" t="s">
        <v>59</v>
      </c>
      <c r="F13" s="15" t="s">
        <v>60</v>
      </c>
      <c r="G13" s="1" t="s">
        <v>13</v>
      </c>
    </row>
    <row r="14" spans="1:7" ht="14.4" x14ac:dyDescent="0.3">
      <c r="A14" s="1" t="str">
        <f t="shared" si="0"/>
        <v>9NO A3</v>
      </c>
      <c r="B14" s="1">
        <v>3</v>
      </c>
      <c r="C14" s="1" t="s">
        <v>86</v>
      </c>
      <c r="D14" s="1" t="s">
        <v>87</v>
      </c>
      <c r="E14" s="1" t="s">
        <v>59</v>
      </c>
      <c r="F14" s="15" t="s">
        <v>60</v>
      </c>
      <c r="G14" s="1" t="s">
        <v>13</v>
      </c>
    </row>
    <row r="15" spans="1:7" ht="14.4" x14ac:dyDescent="0.3">
      <c r="A15" s="1" t="str">
        <f t="shared" si="0"/>
        <v>9NO A4</v>
      </c>
      <c r="B15" s="1">
        <v>4</v>
      </c>
      <c r="C15" s="1" t="s">
        <v>88</v>
      </c>
      <c r="D15" s="1" t="s">
        <v>89</v>
      </c>
      <c r="E15" s="1" t="s">
        <v>59</v>
      </c>
      <c r="F15" s="15" t="s">
        <v>60</v>
      </c>
      <c r="G15" s="1" t="s">
        <v>13</v>
      </c>
    </row>
    <row r="16" spans="1:7" ht="14.4" x14ac:dyDescent="0.3">
      <c r="A16" s="1" t="str">
        <f t="shared" si="0"/>
        <v>9NO A5</v>
      </c>
      <c r="B16" s="1">
        <v>5</v>
      </c>
      <c r="C16" s="1" t="s">
        <v>92</v>
      </c>
      <c r="D16" s="1" t="s">
        <v>93</v>
      </c>
      <c r="E16" s="1" t="s">
        <v>59</v>
      </c>
      <c r="F16" s="15" t="s">
        <v>60</v>
      </c>
      <c r="G16" s="1" t="s">
        <v>13</v>
      </c>
    </row>
    <row r="17" spans="1:7" ht="14.4" x14ac:dyDescent="0.3">
      <c r="A17" s="1" t="str">
        <f t="shared" si="0"/>
        <v>9NO A6</v>
      </c>
      <c r="B17" s="1">
        <v>6</v>
      </c>
      <c r="C17" s="1" t="s">
        <v>92</v>
      </c>
      <c r="D17" s="1" t="s">
        <v>96</v>
      </c>
      <c r="E17" s="1" t="s">
        <v>59</v>
      </c>
      <c r="F17" s="15" t="s">
        <v>60</v>
      </c>
      <c r="G17" s="1" t="s">
        <v>13</v>
      </c>
    </row>
    <row r="18" spans="1:7" ht="14.4" x14ac:dyDescent="0.3">
      <c r="A18" s="1" t="str">
        <f t="shared" si="0"/>
        <v>9NO A7</v>
      </c>
      <c r="B18" s="1">
        <v>7</v>
      </c>
      <c r="C18" s="1" t="s">
        <v>92</v>
      </c>
      <c r="D18" s="1" t="s">
        <v>97</v>
      </c>
      <c r="E18" s="1" t="s">
        <v>59</v>
      </c>
      <c r="F18" s="15" t="s">
        <v>60</v>
      </c>
      <c r="G18" s="1" t="s">
        <v>13</v>
      </c>
    </row>
    <row r="19" spans="1:7" ht="14.4" x14ac:dyDescent="0.3">
      <c r="A19" s="1" t="str">
        <f t="shared" si="0"/>
        <v>9NO A8</v>
      </c>
      <c r="B19" s="1">
        <v>8</v>
      </c>
      <c r="C19" s="1" t="s">
        <v>94</v>
      </c>
      <c r="D19" s="1" t="s">
        <v>95</v>
      </c>
      <c r="E19" s="1" t="s">
        <v>59</v>
      </c>
      <c r="F19" s="15" t="s">
        <v>60</v>
      </c>
      <c r="G19" s="1" t="s">
        <v>13</v>
      </c>
    </row>
    <row r="20" spans="1:7" ht="14.4" x14ac:dyDescent="0.3">
      <c r="A20" s="1" t="str">
        <f t="shared" si="0"/>
        <v>9NO A9</v>
      </c>
      <c r="B20" s="1">
        <v>9</v>
      </c>
      <c r="C20" s="1" t="s">
        <v>98</v>
      </c>
      <c r="D20" s="1" t="s">
        <v>99</v>
      </c>
      <c r="E20" s="1" t="s">
        <v>59</v>
      </c>
      <c r="F20" s="15" t="s">
        <v>60</v>
      </c>
      <c r="G20" s="1" t="s">
        <v>13</v>
      </c>
    </row>
    <row r="21" spans="1:7" ht="15.75" customHeight="1" x14ac:dyDescent="0.3">
      <c r="A21" s="1" t="str">
        <f t="shared" si="0"/>
        <v>9NO A10</v>
      </c>
      <c r="B21" s="1">
        <v>10</v>
      </c>
      <c r="C21" s="1" t="s">
        <v>100</v>
      </c>
      <c r="D21" s="1" t="s">
        <v>101</v>
      </c>
      <c r="E21" s="1" t="s">
        <v>59</v>
      </c>
      <c r="F21" s="15" t="s">
        <v>60</v>
      </c>
      <c r="G21" s="1" t="s">
        <v>13</v>
      </c>
    </row>
    <row r="22" spans="1:7" ht="15.75" customHeight="1" x14ac:dyDescent="0.3">
      <c r="A22" s="1" t="str">
        <f t="shared" si="0"/>
        <v>10MO A1</v>
      </c>
      <c r="B22" s="1">
        <v>1</v>
      </c>
      <c r="C22" s="1" t="s">
        <v>86</v>
      </c>
      <c r="D22" s="1" t="s">
        <v>91</v>
      </c>
      <c r="E22" s="1" t="s">
        <v>61</v>
      </c>
      <c r="F22" s="15" t="s">
        <v>62</v>
      </c>
      <c r="G22" s="1" t="s">
        <v>13</v>
      </c>
    </row>
    <row r="23" spans="1:7" ht="15.75" customHeight="1" x14ac:dyDescent="0.3">
      <c r="A23" s="1" t="str">
        <f t="shared" si="0"/>
        <v>10MO A2</v>
      </c>
      <c r="B23" s="1">
        <v>2</v>
      </c>
      <c r="C23" s="1" t="s">
        <v>86</v>
      </c>
      <c r="D23" s="1" t="s">
        <v>87</v>
      </c>
      <c r="E23" s="1" t="s">
        <v>61</v>
      </c>
      <c r="F23" s="15" t="s">
        <v>62</v>
      </c>
      <c r="G23" s="1" t="s">
        <v>13</v>
      </c>
    </row>
    <row r="24" spans="1:7" ht="15.75" customHeight="1" x14ac:dyDescent="0.3">
      <c r="A24" s="1" t="str">
        <f t="shared" si="0"/>
        <v>10MO A3</v>
      </c>
      <c r="B24" s="1">
        <v>3</v>
      </c>
      <c r="C24" s="1" t="s">
        <v>90</v>
      </c>
      <c r="D24" s="1" t="s">
        <v>97</v>
      </c>
      <c r="E24" s="1" t="s">
        <v>61</v>
      </c>
      <c r="F24" s="15" t="s">
        <v>62</v>
      </c>
      <c r="G24" s="1" t="s">
        <v>13</v>
      </c>
    </row>
    <row r="25" spans="1:7" ht="15.75" customHeight="1" x14ac:dyDescent="0.3">
      <c r="A25" s="1" t="str">
        <f t="shared" si="0"/>
        <v>10MO A4</v>
      </c>
      <c r="B25" s="1">
        <v>4</v>
      </c>
      <c r="C25" s="1" t="s">
        <v>90</v>
      </c>
      <c r="D25" s="1" t="s">
        <v>96</v>
      </c>
      <c r="E25" s="1" t="s">
        <v>61</v>
      </c>
      <c r="F25" s="15" t="s">
        <v>62</v>
      </c>
      <c r="G25" s="1" t="s">
        <v>13</v>
      </c>
    </row>
    <row r="26" spans="1:7" ht="15.75" customHeight="1" x14ac:dyDescent="0.3">
      <c r="A26" s="1" t="str">
        <f t="shared" si="0"/>
        <v>10MO A5</v>
      </c>
      <c r="B26" s="1">
        <v>5</v>
      </c>
      <c r="C26" s="1" t="s">
        <v>103</v>
      </c>
      <c r="D26" s="1" t="s">
        <v>85</v>
      </c>
      <c r="E26" s="1" t="s">
        <v>61</v>
      </c>
      <c r="F26" s="15" t="s">
        <v>62</v>
      </c>
      <c r="G26" s="1" t="s">
        <v>13</v>
      </c>
    </row>
    <row r="27" spans="1:7" ht="15.75" customHeight="1" x14ac:dyDescent="0.3">
      <c r="A27" s="1" t="str">
        <f t="shared" si="0"/>
        <v>10MO A6</v>
      </c>
      <c r="B27" s="1">
        <v>6</v>
      </c>
      <c r="C27" s="1" t="s">
        <v>104</v>
      </c>
      <c r="D27" s="1" t="s">
        <v>89</v>
      </c>
      <c r="E27" s="1" t="s">
        <v>61</v>
      </c>
      <c r="F27" s="15" t="s">
        <v>62</v>
      </c>
      <c r="G27" s="1" t="s">
        <v>13</v>
      </c>
    </row>
    <row r="28" spans="1:7" ht="15.75" customHeight="1" x14ac:dyDescent="0.3">
      <c r="A28" s="1" t="str">
        <f t="shared" si="0"/>
        <v>10MO A7</v>
      </c>
      <c r="B28" s="1">
        <v>7</v>
      </c>
      <c r="C28" s="1" t="s">
        <v>92</v>
      </c>
      <c r="D28" s="1" t="s">
        <v>93</v>
      </c>
      <c r="E28" s="1" t="s">
        <v>61</v>
      </c>
      <c r="F28" s="15" t="s">
        <v>62</v>
      </c>
      <c r="G28" s="1" t="s">
        <v>13</v>
      </c>
    </row>
    <row r="29" spans="1:7" ht="15.75" customHeight="1" x14ac:dyDescent="0.3">
      <c r="A29" s="1" t="str">
        <f t="shared" si="0"/>
        <v>10MO A8</v>
      </c>
      <c r="B29" s="1">
        <v>8</v>
      </c>
      <c r="C29" s="1" t="s">
        <v>94</v>
      </c>
      <c r="D29" s="1" t="s">
        <v>95</v>
      </c>
      <c r="E29" s="1" t="s">
        <v>61</v>
      </c>
      <c r="F29" s="15" t="s">
        <v>62</v>
      </c>
      <c r="G29" s="1" t="s">
        <v>13</v>
      </c>
    </row>
    <row r="30" spans="1:7" ht="15.75" customHeight="1" x14ac:dyDescent="0.3">
      <c r="A30" s="1" t="str">
        <f t="shared" si="0"/>
        <v>10MO A9</v>
      </c>
      <c r="B30" s="1">
        <v>9</v>
      </c>
      <c r="C30" s="1" t="s">
        <v>98</v>
      </c>
      <c r="D30" s="1" t="s">
        <v>99</v>
      </c>
      <c r="E30" s="1" t="s">
        <v>61</v>
      </c>
      <c r="F30" s="15" t="s">
        <v>62</v>
      </c>
      <c r="G30" s="1" t="s">
        <v>13</v>
      </c>
    </row>
    <row r="31" spans="1:7" ht="15.75" customHeight="1" x14ac:dyDescent="0.3">
      <c r="A31" s="1" t="str">
        <f t="shared" si="0"/>
        <v>10MO A10</v>
      </c>
      <c r="B31" s="1">
        <v>10</v>
      </c>
      <c r="C31" s="1" t="s">
        <v>100</v>
      </c>
      <c r="D31" s="1" t="s">
        <v>101</v>
      </c>
      <c r="E31" s="1" t="s">
        <v>61</v>
      </c>
      <c r="F31" s="15" t="s">
        <v>62</v>
      </c>
      <c r="G31" s="1" t="s">
        <v>13</v>
      </c>
    </row>
    <row r="32" spans="1:7" ht="15.75" customHeight="1" x14ac:dyDescent="0.3">
      <c r="A32" s="1" t="str">
        <f t="shared" si="0"/>
        <v>1RO A1</v>
      </c>
      <c r="B32" s="1">
        <v>1</v>
      </c>
      <c r="C32" s="1" t="s">
        <v>84</v>
      </c>
      <c r="D32" s="1" t="s">
        <v>105</v>
      </c>
      <c r="E32" s="1" t="s">
        <v>65</v>
      </c>
      <c r="F32" s="15" t="s">
        <v>66</v>
      </c>
      <c r="G32" s="1" t="s">
        <v>14</v>
      </c>
    </row>
    <row r="33" spans="1:7" ht="15.75" customHeight="1" x14ac:dyDescent="0.3">
      <c r="A33" s="1" t="str">
        <f t="shared" si="0"/>
        <v>1RO A2</v>
      </c>
      <c r="B33" s="1">
        <v>2</v>
      </c>
      <c r="C33" s="1" t="s">
        <v>106</v>
      </c>
      <c r="D33" s="1" t="s">
        <v>107</v>
      </c>
      <c r="E33" s="1" t="s">
        <v>65</v>
      </c>
      <c r="F33" s="15" t="s">
        <v>66</v>
      </c>
      <c r="G33" s="1" t="s">
        <v>14</v>
      </c>
    </row>
    <row r="34" spans="1:7" ht="15.75" customHeight="1" x14ac:dyDescent="0.3">
      <c r="A34" s="1" t="str">
        <f t="shared" si="0"/>
        <v>1RO A3</v>
      </c>
      <c r="B34" s="1">
        <v>3</v>
      </c>
      <c r="C34" s="1" t="s">
        <v>86</v>
      </c>
      <c r="D34" s="1" t="s">
        <v>108</v>
      </c>
      <c r="E34" s="1" t="s">
        <v>65</v>
      </c>
      <c r="F34" s="15" t="s">
        <v>66</v>
      </c>
      <c r="G34" s="1" t="s">
        <v>14</v>
      </c>
    </row>
    <row r="35" spans="1:7" ht="15.75" customHeight="1" x14ac:dyDescent="0.3">
      <c r="A35" s="1" t="str">
        <f t="shared" si="0"/>
        <v>1RO A4</v>
      </c>
      <c r="B35" s="1">
        <v>4</v>
      </c>
      <c r="C35" s="1" t="s">
        <v>90</v>
      </c>
      <c r="D35" s="1" t="s">
        <v>109</v>
      </c>
      <c r="E35" s="1" t="s">
        <v>65</v>
      </c>
      <c r="F35" s="15" t="s">
        <v>66</v>
      </c>
      <c r="G35" s="1" t="s">
        <v>14</v>
      </c>
    </row>
    <row r="36" spans="1:7" ht="15.75" customHeight="1" x14ac:dyDescent="0.3">
      <c r="A36" s="1" t="str">
        <f t="shared" si="0"/>
        <v>1RO A5</v>
      </c>
      <c r="B36" s="1">
        <v>5</v>
      </c>
      <c r="C36" s="1" t="s">
        <v>90</v>
      </c>
      <c r="D36" s="1" t="s">
        <v>110</v>
      </c>
      <c r="E36" s="1" t="s">
        <v>65</v>
      </c>
      <c r="F36" s="15" t="s">
        <v>66</v>
      </c>
      <c r="G36" s="1" t="s">
        <v>14</v>
      </c>
    </row>
    <row r="37" spans="1:7" ht="15.75" customHeight="1" x14ac:dyDescent="0.3">
      <c r="A37" s="1" t="str">
        <f t="shared" si="0"/>
        <v>1RO A6</v>
      </c>
      <c r="B37" s="1">
        <v>6</v>
      </c>
      <c r="C37" s="1" t="s">
        <v>111</v>
      </c>
      <c r="D37" s="1" t="s">
        <v>95</v>
      </c>
      <c r="E37" s="1" t="s">
        <v>65</v>
      </c>
      <c r="F37" s="15" t="s">
        <v>66</v>
      </c>
      <c r="G37" s="1" t="s">
        <v>14</v>
      </c>
    </row>
    <row r="38" spans="1:7" ht="15.75" customHeight="1" x14ac:dyDescent="0.3">
      <c r="A38" s="1" t="str">
        <f t="shared" si="0"/>
        <v>1RO A7</v>
      </c>
      <c r="B38" s="1">
        <v>7</v>
      </c>
      <c r="C38" s="1" t="s">
        <v>112</v>
      </c>
      <c r="D38" s="1" t="s">
        <v>85</v>
      </c>
      <c r="E38" s="1" t="s">
        <v>65</v>
      </c>
      <c r="F38" s="15" t="s">
        <v>66</v>
      </c>
      <c r="G38" s="1" t="s">
        <v>14</v>
      </c>
    </row>
    <row r="39" spans="1:7" ht="15.75" customHeight="1" x14ac:dyDescent="0.3">
      <c r="A39" s="1" t="str">
        <f t="shared" si="0"/>
        <v>1RO A8</v>
      </c>
      <c r="B39" s="1">
        <v>8</v>
      </c>
      <c r="C39" s="1" t="s">
        <v>104</v>
      </c>
      <c r="D39" s="1" t="s">
        <v>97</v>
      </c>
      <c r="E39" s="1" t="s">
        <v>65</v>
      </c>
      <c r="F39" s="15" t="s">
        <v>66</v>
      </c>
      <c r="G39" s="1" t="s">
        <v>14</v>
      </c>
    </row>
    <row r="40" spans="1:7" ht="15.75" customHeight="1" x14ac:dyDescent="0.3">
      <c r="A40" s="1" t="str">
        <f t="shared" si="0"/>
        <v>1RO A9</v>
      </c>
      <c r="B40" s="1">
        <v>9</v>
      </c>
      <c r="C40" s="1" t="s">
        <v>104</v>
      </c>
      <c r="D40" s="1" t="s">
        <v>96</v>
      </c>
      <c r="E40" s="1" t="s">
        <v>65</v>
      </c>
      <c r="F40" s="15" t="s">
        <v>66</v>
      </c>
      <c r="G40" s="1" t="s">
        <v>14</v>
      </c>
    </row>
    <row r="41" spans="1:7" ht="15.75" customHeight="1" x14ac:dyDescent="0.3">
      <c r="A41" s="1" t="str">
        <f t="shared" si="0"/>
        <v>1RO A10</v>
      </c>
      <c r="B41" s="1">
        <v>10</v>
      </c>
      <c r="C41" s="1" t="s">
        <v>104</v>
      </c>
      <c r="D41" s="1" t="s">
        <v>113</v>
      </c>
      <c r="E41" s="1" t="s">
        <v>65</v>
      </c>
      <c r="F41" s="15" t="s">
        <v>66</v>
      </c>
      <c r="G41" s="1" t="s">
        <v>14</v>
      </c>
    </row>
    <row r="42" spans="1:7" ht="15.75" customHeight="1" x14ac:dyDescent="0.3">
      <c r="A42" s="1" t="str">
        <f t="shared" si="0"/>
        <v>1RO A11</v>
      </c>
      <c r="B42" s="1">
        <v>11</v>
      </c>
      <c r="C42" s="1" t="s">
        <v>92</v>
      </c>
      <c r="D42" s="1" t="s">
        <v>93</v>
      </c>
      <c r="E42" s="1" t="s">
        <v>65</v>
      </c>
      <c r="F42" s="15" t="s">
        <v>66</v>
      </c>
      <c r="G42" s="1" t="s">
        <v>14</v>
      </c>
    </row>
    <row r="43" spans="1:7" ht="15.75" customHeight="1" x14ac:dyDescent="0.3">
      <c r="A43" s="1" t="str">
        <f t="shared" si="0"/>
        <v>1RO A12</v>
      </c>
      <c r="B43" s="1">
        <v>12</v>
      </c>
      <c r="C43" s="1" t="s">
        <v>94</v>
      </c>
      <c r="D43" s="1" t="s">
        <v>87</v>
      </c>
      <c r="E43" s="1" t="s">
        <v>65</v>
      </c>
      <c r="F43" s="15" t="s">
        <v>66</v>
      </c>
      <c r="G43" s="1" t="s">
        <v>14</v>
      </c>
    </row>
    <row r="44" spans="1:7" ht="15.75" customHeight="1" x14ac:dyDescent="0.3">
      <c r="A44" s="1" t="str">
        <f t="shared" si="0"/>
        <v>1RO A13</v>
      </c>
      <c r="B44" s="1">
        <v>13</v>
      </c>
      <c r="C44" s="1" t="s">
        <v>114</v>
      </c>
      <c r="D44" s="1" t="s">
        <v>115</v>
      </c>
      <c r="E44" s="1" t="s">
        <v>65</v>
      </c>
      <c r="F44" s="15" t="s">
        <v>66</v>
      </c>
      <c r="G44" s="1" t="s">
        <v>14</v>
      </c>
    </row>
    <row r="45" spans="1:7" ht="15.75" customHeight="1" x14ac:dyDescent="0.3">
      <c r="A45" s="1" t="str">
        <f t="shared" si="0"/>
        <v>1RO A14</v>
      </c>
      <c r="B45" s="1">
        <v>14</v>
      </c>
      <c r="C45" s="1" t="s">
        <v>98</v>
      </c>
      <c r="D45" s="1" t="s">
        <v>99</v>
      </c>
      <c r="E45" s="1" t="s">
        <v>65</v>
      </c>
      <c r="F45" s="15" t="s">
        <v>66</v>
      </c>
      <c r="G45" s="1" t="s">
        <v>14</v>
      </c>
    </row>
    <row r="46" spans="1:7" ht="15.75" customHeight="1" x14ac:dyDescent="0.3">
      <c r="A46" s="1" t="str">
        <f t="shared" si="0"/>
        <v>1RO A15</v>
      </c>
      <c r="B46" s="1">
        <v>15</v>
      </c>
      <c r="C46" s="1" t="s">
        <v>100</v>
      </c>
      <c r="D46" s="1" t="s">
        <v>101</v>
      </c>
      <c r="E46" s="1" t="s">
        <v>65</v>
      </c>
      <c r="F46" s="15" t="s">
        <v>66</v>
      </c>
      <c r="G46" s="1" t="s">
        <v>14</v>
      </c>
    </row>
    <row r="47" spans="1:7" ht="15.75" customHeight="1" x14ac:dyDescent="0.3">
      <c r="A47" s="1" t="str">
        <f t="shared" si="0"/>
        <v>2DO A1</v>
      </c>
      <c r="B47" s="1">
        <v>1</v>
      </c>
      <c r="C47" s="1" t="s">
        <v>84</v>
      </c>
      <c r="D47" s="1" t="s">
        <v>105</v>
      </c>
      <c r="E47" s="1" t="s">
        <v>21</v>
      </c>
      <c r="F47" s="15" t="s">
        <v>58</v>
      </c>
      <c r="G47" s="1" t="s">
        <v>14</v>
      </c>
    </row>
    <row r="48" spans="1:7" ht="15.75" customHeight="1" x14ac:dyDescent="0.3">
      <c r="A48" s="1" t="str">
        <f t="shared" si="0"/>
        <v>2DO A2</v>
      </c>
      <c r="B48" s="1">
        <v>2</v>
      </c>
      <c r="C48" s="1" t="s">
        <v>84</v>
      </c>
      <c r="D48" s="1" t="s">
        <v>97</v>
      </c>
      <c r="E48" s="1" t="s">
        <v>21</v>
      </c>
      <c r="F48" s="15" t="s">
        <v>58</v>
      </c>
      <c r="G48" s="1" t="s">
        <v>14</v>
      </c>
    </row>
    <row r="49" spans="1:7" ht="15.75" customHeight="1" x14ac:dyDescent="0.3">
      <c r="A49" s="1" t="str">
        <f t="shared" si="0"/>
        <v>2DO A3</v>
      </c>
      <c r="B49" s="1">
        <v>3</v>
      </c>
      <c r="C49" s="1" t="s">
        <v>84</v>
      </c>
      <c r="D49" s="1" t="s">
        <v>96</v>
      </c>
      <c r="E49" s="1" t="s">
        <v>21</v>
      </c>
      <c r="F49" s="15" t="s">
        <v>58</v>
      </c>
      <c r="G49" s="1" t="s">
        <v>14</v>
      </c>
    </row>
    <row r="50" spans="1:7" ht="15.75" customHeight="1" x14ac:dyDescent="0.3">
      <c r="A50" s="1" t="str">
        <f t="shared" si="0"/>
        <v>2DO A4</v>
      </c>
      <c r="B50" s="1">
        <v>4</v>
      </c>
      <c r="C50" s="1" t="s">
        <v>106</v>
      </c>
      <c r="D50" s="1" t="s">
        <v>107</v>
      </c>
      <c r="E50" s="1" t="s">
        <v>21</v>
      </c>
      <c r="F50" s="15" t="s">
        <v>58</v>
      </c>
      <c r="G50" s="1" t="s">
        <v>14</v>
      </c>
    </row>
    <row r="51" spans="1:7" ht="15.75" customHeight="1" x14ac:dyDescent="0.3">
      <c r="A51" s="1" t="str">
        <f t="shared" si="0"/>
        <v>2DO A5</v>
      </c>
      <c r="B51" s="1">
        <v>5</v>
      </c>
      <c r="C51" s="1" t="s">
        <v>86</v>
      </c>
      <c r="D51" s="1" t="s">
        <v>108</v>
      </c>
      <c r="E51" s="1" t="s">
        <v>21</v>
      </c>
      <c r="F51" s="15" t="s">
        <v>58</v>
      </c>
      <c r="G51" s="1" t="s">
        <v>14</v>
      </c>
    </row>
    <row r="52" spans="1:7" ht="15.75" customHeight="1" x14ac:dyDescent="0.3">
      <c r="A52" s="1" t="str">
        <f t="shared" si="0"/>
        <v>2DO A6</v>
      </c>
      <c r="B52" s="1">
        <v>6</v>
      </c>
      <c r="C52" s="1" t="s">
        <v>90</v>
      </c>
      <c r="D52" s="1" t="s">
        <v>87</v>
      </c>
      <c r="E52" s="1" t="s">
        <v>21</v>
      </c>
      <c r="F52" s="15" t="s">
        <v>58</v>
      </c>
      <c r="G52" s="1" t="s">
        <v>14</v>
      </c>
    </row>
    <row r="53" spans="1:7" ht="15.75" customHeight="1" x14ac:dyDescent="0.3">
      <c r="A53" s="1" t="str">
        <f t="shared" si="0"/>
        <v>2DO A7</v>
      </c>
      <c r="B53" s="1">
        <v>7</v>
      </c>
      <c r="C53" s="1" t="s">
        <v>90</v>
      </c>
      <c r="D53" s="1" t="s">
        <v>110</v>
      </c>
      <c r="E53" s="1" t="s">
        <v>21</v>
      </c>
      <c r="F53" s="15" t="s">
        <v>58</v>
      </c>
      <c r="G53" s="1" t="s">
        <v>14</v>
      </c>
    </row>
    <row r="54" spans="1:7" ht="15.75" customHeight="1" x14ac:dyDescent="0.3">
      <c r="A54" s="1" t="str">
        <f t="shared" si="0"/>
        <v>2DO A8</v>
      </c>
      <c r="B54" s="1">
        <v>8</v>
      </c>
      <c r="C54" s="1" t="s">
        <v>111</v>
      </c>
      <c r="D54" s="1" t="s">
        <v>95</v>
      </c>
      <c r="E54" s="1" t="s">
        <v>21</v>
      </c>
      <c r="F54" s="15" t="s">
        <v>58</v>
      </c>
      <c r="G54" s="1" t="s">
        <v>14</v>
      </c>
    </row>
    <row r="55" spans="1:7" ht="15.75" customHeight="1" x14ac:dyDescent="0.3">
      <c r="A55" s="1" t="str">
        <f t="shared" si="0"/>
        <v>2DO A9</v>
      </c>
      <c r="B55" s="1">
        <v>9</v>
      </c>
      <c r="C55" s="1" t="s">
        <v>103</v>
      </c>
      <c r="D55" s="1" t="s">
        <v>85</v>
      </c>
      <c r="E55" s="1" t="s">
        <v>21</v>
      </c>
      <c r="F55" s="15" t="s">
        <v>58</v>
      </c>
      <c r="G55" s="1" t="s">
        <v>14</v>
      </c>
    </row>
    <row r="56" spans="1:7" ht="15.75" customHeight="1" x14ac:dyDescent="0.3">
      <c r="A56" s="1" t="str">
        <f t="shared" si="0"/>
        <v>2DO A10</v>
      </c>
      <c r="B56" s="1">
        <v>10</v>
      </c>
      <c r="C56" s="1" t="s">
        <v>104</v>
      </c>
      <c r="D56" s="1" t="s">
        <v>113</v>
      </c>
      <c r="E56" s="1" t="s">
        <v>21</v>
      </c>
      <c r="F56" s="15" t="s">
        <v>58</v>
      </c>
      <c r="G56" s="1" t="s">
        <v>14</v>
      </c>
    </row>
    <row r="57" spans="1:7" ht="15.75" customHeight="1" x14ac:dyDescent="0.3">
      <c r="A57" s="1" t="str">
        <f t="shared" si="0"/>
        <v>2DO A11</v>
      </c>
      <c r="B57" s="1">
        <v>11</v>
      </c>
      <c r="C57" s="1" t="s">
        <v>92</v>
      </c>
      <c r="D57" s="1" t="s">
        <v>93</v>
      </c>
      <c r="E57" s="1" t="s">
        <v>21</v>
      </c>
      <c r="F57" s="15" t="s">
        <v>58</v>
      </c>
      <c r="G57" s="1" t="s">
        <v>14</v>
      </c>
    </row>
    <row r="58" spans="1:7" ht="15.75" customHeight="1" x14ac:dyDescent="0.3">
      <c r="A58" s="1" t="str">
        <f t="shared" si="0"/>
        <v>2DO A12</v>
      </c>
      <c r="B58" s="1">
        <v>12</v>
      </c>
      <c r="C58" s="1" t="s">
        <v>114</v>
      </c>
      <c r="D58" s="1" t="s">
        <v>115</v>
      </c>
      <c r="E58" s="1" t="s">
        <v>21</v>
      </c>
      <c r="F58" s="15" t="s">
        <v>58</v>
      </c>
      <c r="G58" s="1" t="s">
        <v>14</v>
      </c>
    </row>
    <row r="59" spans="1:7" ht="15.75" customHeight="1" x14ac:dyDescent="0.3">
      <c r="A59" s="1" t="str">
        <f t="shared" si="0"/>
        <v>2DO A13</v>
      </c>
      <c r="B59" s="1">
        <v>13</v>
      </c>
      <c r="C59" s="1" t="s">
        <v>114</v>
      </c>
      <c r="D59" s="1" t="s">
        <v>109</v>
      </c>
      <c r="E59" s="1" t="s">
        <v>21</v>
      </c>
      <c r="F59" s="15" t="s">
        <v>58</v>
      </c>
      <c r="G59" s="1" t="s">
        <v>14</v>
      </c>
    </row>
    <row r="60" spans="1:7" ht="15.75" customHeight="1" x14ac:dyDescent="0.3">
      <c r="A60" s="1" t="str">
        <f t="shared" si="0"/>
        <v>2DO A14</v>
      </c>
      <c r="B60" s="1">
        <v>14</v>
      </c>
      <c r="C60" s="1" t="s">
        <v>98</v>
      </c>
      <c r="D60" s="1" t="s">
        <v>99</v>
      </c>
      <c r="E60" s="1" t="s">
        <v>21</v>
      </c>
      <c r="F60" s="15" t="s">
        <v>58</v>
      </c>
      <c r="G60" s="1" t="s">
        <v>14</v>
      </c>
    </row>
    <row r="61" spans="1:7" ht="15.75" customHeight="1" x14ac:dyDescent="0.3">
      <c r="A61" s="1" t="str">
        <f t="shared" si="0"/>
        <v>2DO A15</v>
      </c>
      <c r="B61" s="1">
        <v>15</v>
      </c>
      <c r="C61" s="1" t="s">
        <v>100</v>
      </c>
      <c r="D61" s="1" t="s">
        <v>101</v>
      </c>
      <c r="E61" s="1" t="s">
        <v>21</v>
      </c>
      <c r="F61" s="15" t="s">
        <v>58</v>
      </c>
      <c r="G61" s="1" t="s">
        <v>14</v>
      </c>
    </row>
    <row r="62" spans="1:7" ht="15.75" customHeight="1" x14ac:dyDescent="0.3">
      <c r="A62" s="1" t="str">
        <f t="shared" si="0"/>
        <v>2DO B1</v>
      </c>
      <c r="B62" s="1">
        <v>1</v>
      </c>
      <c r="C62" s="1" t="s">
        <v>84</v>
      </c>
      <c r="D62" s="1" t="s">
        <v>105</v>
      </c>
      <c r="E62" s="1" t="s">
        <v>64</v>
      </c>
      <c r="F62" s="15" t="s">
        <v>63</v>
      </c>
      <c r="G62" s="1" t="s">
        <v>14</v>
      </c>
    </row>
    <row r="63" spans="1:7" ht="15.75" customHeight="1" x14ac:dyDescent="0.3">
      <c r="A63" s="1" t="str">
        <f t="shared" si="0"/>
        <v>2DO B2</v>
      </c>
      <c r="B63" s="1">
        <v>2</v>
      </c>
      <c r="C63" s="1" t="s">
        <v>106</v>
      </c>
      <c r="D63" s="1" t="s">
        <v>107</v>
      </c>
      <c r="E63" s="1" t="s">
        <v>64</v>
      </c>
      <c r="F63" s="15" t="s">
        <v>63</v>
      </c>
      <c r="G63" s="1" t="s">
        <v>14</v>
      </c>
    </row>
    <row r="64" spans="1:7" ht="15.75" customHeight="1" x14ac:dyDescent="0.3">
      <c r="A64" s="1" t="str">
        <f t="shared" si="0"/>
        <v>2DO B3</v>
      </c>
      <c r="B64" s="1">
        <v>3</v>
      </c>
      <c r="C64" s="1" t="s">
        <v>86</v>
      </c>
      <c r="D64" s="1" t="s">
        <v>108</v>
      </c>
      <c r="E64" s="1" t="s">
        <v>64</v>
      </c>
      <c r="F64" s="15" t="s">
        <v>63</v>
      </c>
      <c r="G64" s="1" t="s">
        <v>14</v>
      </c>
    </row>
    <row r="65" spans="1:7" ht="15.75" customHeight="1" x14ac:dyDescent="0.3">
      <c r="A65" s="1" t="str">
        <f t="shared" si="0"/>
        <v>2DO B4</v>
      </c>
      <c r="B65" s="1">
        <v>4</v>
      </c>
      <c r="C65" s="1" t="s">
        <v>90</v>
      </c>
      <c r="D65" s="1" t="s">
        <v>87</v>
      </c>
      <c r="E65" s="1" t="s">
        <v>64</v>
      </c>
      <c r="F65" s="15" t="s">
        <v>63</v>
      </c>
      <c r="G65" s="1" t="s">
        <v>14</v>
      </c>
    </row>
    <row r="66" spans="1:7" ht="15.75" customHeight="1" x14ac:dyDescent="0.3">
      <c r="A66" s="1" t="str">
        <f t="shared" si="0"/>
        <v>2DO B5</v>
      </c>
      <c r="B66" s="1">
        <v>5</v>
      </c>
      <c r="C66" s="1" t="s">
        <v>90</v>
      </c>
      <c r="D66" s="1" t="s">
        <v>110</v>
      </c>
      <c r="E66" s="1" t="s">
        <v>64</v>
      </c>
      <c r="F66" s="15" t="s">
        <v>63</v>
      </c>
      <c r="G66" s="1" t="s">
        <v>14</v>
      </c>
    </row>
    <row r="67" spans="1:7" ht="15.75" customHeight="1" x14ac:dyDescent="0.3">
      <c r="A67" s="1" t="str">
        <f t="shared" si="0"/>
        <v>2DO B6</v>
      </c>
      <c r="B67" s="1">
        <v>6</v>
      </c>
      <c r="C67" s="1" t="s">
        <v>111</v>
      </c>
      <c r="D67" s="1" t="s">
        <v>95</v>
      </c>
      <c r="E67" s="1" t="s">
        <v>64</v>
      </c>
      <c r="F67" s="15" t="s">
        <v>63</v>
      </c>
      <c r="G67" s="1" t="s">
        <v>14</v>
      </c>
    </row>
    <row r="68" spans="1:7" ht="15.75" customHeight="1" x14ac:dyDescent="0.3">
      <c r="A68" s="1" t="str">
        <f t="shared" si="0"/>
        <v>2DO B7</v>
      </c>
      <c r="B68" s="1">
        <v>7</v>
      </c>
      <c r="C68" s="1" t="s">
        <v>112</v>
      </c>
      <c r="D68" s="1" t="s">
        <v>85</v>
      </c>
      <c r="E68" s="1" t="s">
        <v>64</v>
      </c>
      <c r="F68" s="15" t="s">
        <v>63</v>
      </c>
      <c r="G68" s="1" t="s">
        <v>14</v>
      </c>
    </row>
    <row r="69" spans="1:7" ht="15.75" customHeight="1" x14ac:dyDescent="0.3">
      <c r="A69" s="1" t="str">
        <f t="shared" si="0"/>
        <v>2DO B8</v>
      </c>
      <c r="B69" s="1">
        <v>8</v>
      </c>
      <c r="C69" s="1" t="s">
        <v>112</v>
      </c>
      <c r="D69" s="1" t="s">
        <v>97</v>
      </c>
      <c r="E69" s="1" t="s">
        <v>64</v>
      </c>
      <c r="F69" s="15" t="s">
        <v>63</v>
      </c>
      <c r="G69" s="1" t="s">
        <v>14</v>
      </c>
    </row>
    <row r="70" spans="1:7" ht="15.75" customHeight="1" x14ac:dyDescent="0.3">
      <c r="A70" s="1" t="str">
        <f t="shared" si="0"/>
        <v>2DO B9</v>
      </c>
      <c r="B70" s="1">
        <v>9</v>
      </c>
      <c r="C70" s="1" t="s">
        <v>112</v>
      </c>
      <c r="D70" s="1" t="s">
        <v>96</v>
      </c>
      <c r="E70" s="1" t="s">
        <v>64</v>
      </c>
      <c r="F70" s="15" t="s">
        <v>63</v>
      </c>
      <c r="G70" s="1" t="s">
        <v>14</v>
      </c>
    </row>
    <row r="71" spans="1:7" ht="15.75" customHeight="1" x14ac:dyDescent="0.3">
      <c r="A71" s="1" t="str">
        <f t="shared" si="0"/>
        <v>2DO B10</v>
      </c>
      <c r="B71" s="1">
        <v>10</v>
      </c>
      <c r="C71" s="1" t="s">
        <v>104</v>
      </c>
      <c r="D71" s="1" t="s">
        <v>113</v>
      </c>
      <c r="E71" s="1" t="s">
        <v>64</v>
      </c>
      <c r="F71" s="15" t="s">
        <v>63</v>
      </c>
      <c r="G71" s="1" t="s">
        <v>14</v>
      </c>
    </row>
    <row r="72" spans="1:7" ht="15.75" customHeight="1" x14ac:dyDescent="0.3">
      <c r="A72" s="1" t="str">
        <f t="shared" si="0"/>
        <v>2DO B11</v>
      </c>
      <c r="B72" s="1">
        <v>11</v>
      </c>
      <c r="C72" s="1" t="s">
        <v>92</v>
      </c>
      <c r="D72" s="1" t="s">
        <v>93</v>
      </c>
      <c r="E72" s="1" t="s">
        <v>64</v>
      </c>
      <c r="F72" s="15" t="s">
        <v>63</v>
      </c>
      <c r="G72" s="1" t="s">
        <v>14</v>
      </c>
    </row>
    <row r="73" spans="1:7" ht="15.75" customHeight="1" x14ac:dyDescent="0.3">
      <c r="A73" s="1" t="str">
        <f t="shared" si="0"/>
        <v>2DO B12</v>
      </c>
      <c r="B73" s="1">
        <v>12</v>
      </c>
      <c r="C73" s="1" t="s">
        <v>114</v>
      </c>
      <c r="D73" s="1" t="s">
        <v>115</v>
      </c>
      <c r="E73" s="1" t="s">
        <v>64</v>
      </c>
      <c r="F73" s="15" t="s">
        <v>63</v>
      </c>
      <c r="G73" s="1" t="s">
        <v>14</v>
      </c>
    </row>
    <row r="74" spans="1:7" ht="15.75" customHeight="1" x14ac:dyDescent="0.3">
      <c r="A74" s="1" t="str">
        <f t="shared" si="0"/>
        <v>2DO B13</v>
      </c>
      <c r="B74" s="1">
        <v>13</v>
      </c>
      <c r="C74" s="1" t="s">
        <v>114</v>
      </c>
      <c r="D74" s="1" t="s">
        <v>109</v>
      </c>
      <c r="E74" s="1" t="s">
        <v>64</v>
      </c>
      <c r="F74" s="15" t="s">
        <v>63</v>
      </c>
      <c r="G74" s="1" t="s">
        <v>14</v>
      </c>
    </row>
    <row r="75" spans="1:7" ht="15.75" customHeight="1" x14ac:dyDescent="0.3">
      <c r="A75" s="1" t="str">
        <f t="shared" si="0"/>
        <v>2DO B14</v>
      </c>
      <c r="B75" s="1">
        <v>14</v>
      </c>
      <c r="C75" s="1" t="s">
        <v>98</v>
      </c>
      <c r="D75" s="1" t="s">
        <v>99</v>
      </c>
      <c r="E75" s="1" t="s">
        <v>64</v>
      </c>
      <c r="F75" s="15" t="s">
        <v>63</v>
      </c>
      <c r="G75" s="1" t="s">
        <v>14</v>
      </c>
    </row>
    <row r="76" spans="1:7" ht="15.75" customHeight="1" x14ac:dyDescent="0.3">
      <c r="A76" s="1" t="str">
        <f t="shared" si="0"/>
        <v>2DO B15</v>
      </c>
      <c r="B76" s="1">
        <v>15</v>
      </c>
      <c r="C76" s="1" t="s">
        <v>100</v>
      </c>
      <c r="D76" s="1" t="s">
        <v>101</v>
      </c>
      <c r="E76" s="1" t="s">
        <v>64</v>
      </c>
      <c r="F76" s="15" t="s">
        <v>63</v>
      </c>
      <c r="G76" s="1" t="s">
        <v>14</v>
      </c>
    </row>
    <row r="77" spans="1:7" ht="15.75" customHeight="1" x14ac:dyDescent="0.3">
      <c r="A77" s="1" t="str">
        <f t="shared" si="0"/>
        <v>3RO A1</v>
      </c>
      <c r="B77" s="1">
        <v>1</v>
      </c>
      <c r="C77" s="1" t="s">
        <v>106</v>
      </c>
      <c r="D77" s="1" t="s">
        <v>107</v>
      </c>
      <c r="E77" s="1" t="s">
        <v>70</v>
      </c>
      <c r="F77" s="15" t="s">
        <v>71</v>
      </c>
      <c r="G77" s="1" t="s">
        <v>14</v>
      </c>
    </row>
    <row r="78" spans="1:7" ht="15.75" customHeight="1" x14ac:dyDescent="0.3">
      <c r="A78" s="1" t="str">
        <f t="shared" si="0"/>
        <v>3RO A2</v>
      </c>
      <c r="B78" s="1">
        <v>2</v>
      </c>
      <c r="C78" s="1" t="s">
        <v>111</v>
      </c>
      <c r="D78" s="1" t="s">
        <v>95</v>
      </c>
      <c r="E78" s="1" t="s">
        <v>70</v>
      </c>
      <c r="F78" s="15" t="s">
        <v>71</v>
      </c>
      <c r="G78" s="1" t="s">
        <v>14</v>
      </c>
    </row>
    <row r="79" spans="1:7" ht="15.75" customHeight="1" x14ac:dyDescent="0.3">
      <c r="A79" s="1" t="str">
        <f t="shared" si="0"/>
        <v>3RO A3</v>
      </c>
      <c r="B79" s="1">
        <v>3</v>
      </c>
      <c r="C79" s="1" t="s">
        <v>116</v>
      </c>
      <c r="D79" s="1" t="s">
        <v>105</v>
      </c>
      <c r="E79" s="1" t="s">
        <v>70</v>
      </c>
      <c r="F79" s="15" t="s">
        <v>71</v>
      </c>
      <c r="G79" s="1" t="s">
        <v>14</v>
      </c>
    </row>
    <row r="80" spans="1:7" ht="15.75" customHeight="1" x14ac:dyDescent="0.3">
      <c r="A80" s="1" t="str">
        <f t="shared" si="0"/>
        <v>3RO A4</v>
      </c>
      <c r="B80" s="1">
        <v>4</v>
      </c>
      <c r="C80" s="1" t="s">
        <v>112</v>
      </c>
      <c r="D80" s="1" t="s">
        <v>85</v>
      </c>
      <c r="E80" s="1" t="s">
        <v>70</v>
      </c>
      <c r="F80" s="15" t="s">
        <v>71</v>
      </c>
      <c r="G80" s="1" t="s">
        <v>14</v>
      </c>
    </row>
    <row r="81" spans="1:7" ht="15.75" customHeight="1" x14ac:dyDescent="0.3">
      <c r="A81" s="1" t="str">
        <f t="shared" si="0"/>
        <v>3RO A5</v>
      </c>
      <c r="B81" s="1">
        <v>5</v>
      </c>
      <c r="C81" s="1" t="s">
        <v>104</v>
      </c>
      <c r="D81" s="1" t="s">
        <v>113</v>
      </c>
      <c r="E81" s="1" t="s">
        <v>70</v>
      </c>
      <c r="F81" s="15" t="s">
        <v>71</v>
      </c>
      <c r="G81" s="1" t="s">
        <v>14</v>
      </c>
    </row>
    <row r="82" spans="1:7" ht="15.75" customHeight="1" x14ac:dyDescent="0.3">
      <c r="A82" s="1" t="str">
        <f t="shared" si="0"/>
        <v>3RO A6</v>
      </c>
      <c r="B82" s="1">
        <v>6</v>
      </c>
      <c r="C82" s="1" t="s">
        <v>92</v>
      </c>
      <c r="D82" s="1" t="s">
        <v>93</v>
      </c>
      <c r="E82" s="1" t="s">
        <v>70</v>
      </c>
      <c r="F82" s="15" t="s">
        <v>71</v>
      </c>
      <c r="G82" s="1" t="s">
        <v>14</v>
      </c>
    </row>
    <row r="83" spans="1:7" ht="15.75" customHeight="1" x14ac:dyDescent="0.3">
      <c r="A83" s="1" t="str">
        <f t="shared" si="0"/>
        <v>3RO A7</v>
      </c>
      <c r="B83" s="1">
        <v>7</v>
      </c>
      <c r="C83" s="1" t="s">
        <v>114</v>
      </c>
      <c r="D83" s="1" t="s">
        <v>110</v>
      </c>
      <c r="E83" s="1" t="s">
        <v>70</v>
      </c>
      <c r="F83" s="15" t="s">
        <v>71</v>
      </c>
      <c r="G83" s="1" t="s">
        <v>14</v>
      </c>
    </row>
    <row r="84" spans="1:7" ht="15.75" customHeight="1" x14ac:dyDescent="0.3">
      <c r="A84" s="1" t="str">
        <f t="shared" si="0"/>
        <v>3RO A8</v>
      </c>
      <c r="B84" s="1">
        <v>8</v>
      </c>
      <c r="C84" s="1" t="s">
        <v>114</v>
      </c>
      <c r="D84" s="1" t="s">
        <v>97</v>
      </c>
      <c r="E84" s="1" t="s">
        <v>70</v>
      </c>
      <c r="F84" s="15" t="s">
        <v>71</v>
      </c>
      <c r="G84" s="1" t="s">
        <v>14</v>
      </c>
    </row>
    <row r="85" spans="1:7" ht="15.75" customHeight="1" x14ac:dyDescent="0.3">
      <c r="A85" s="1" t="str">
        <f t="shared" si="0"/>
        <v>3RO A9</v>
      </c>
      <c r="B85" s="1">
        <v>9</v>
      </c>
      <c r="C85" s="1" t="s">
        <v>114</v>
      </c>
      <c r="D85" s="1" t="s">
        <v>96</v>
      </c>
      <c r="E85" s="1" t="s">
        <v>70</v>
      </c>
      <c r="F85" s="15" t="s">
        <v>71</v>
      </c>
      <c r="G85" s="1" t="s">
        <v>14</v>
      </c>
    </row>
    <row r="86" spans="1:7" ht="15.75" customHeight="1" x14ac:dyDescent="0.3">
      <c r="A86" s="1" t="str">
        <f t="shared" si="0"/>
        <v>3RO A10</v>
      </c>
      <c r="B86" s="1">
        <v>10</v>
      </c>
      <c r="C86" s="1" t="s">
        <v>114</v>
      </c>
      <c r="D86" s="1" t="s">
        <v>115</v>
      </c>
      <c r="E86" s="1" t="s">
        <v>70</v>
      </c>
      <c r="F86" s="15" t="s">
        <v>71</v>
      </c>
      <c r="G86" s="1" t="s">
        <v>14</v>
      </c>
    </row>
    <row r="87" spans="1:7" ht="15.75" customHeight="1" x14ac:dyDescent="0.3">
      <c r="A87" s="1" t="str">
        <f t="shared" si="0"/>
        <v>3RO A11</v>
      </c>
      <c r="B87" s="1">
        <v>11</v>
      </c>
      <c r="C87" s="1" t="s">
        <v>98</v>
      </c>
      <c r="D87" s="1" t="s">
        <v>99</v>
      </c>
      <c r="E87" s="1" t="s">
        <v>70</v>
      </c>
      <c r="F87" s="15" t="s">
        <v>71</v>
      </c>
      <c r="G87" s="1" t="s">
        <v>14</v>
      </c>
    </row>
    <row r="88" spans="1:7" ht="15.75" customHeight="1" x14ac:dyDescent="0.3">
      <c r="A88" s="1" t="str">
        <f t="shared" si="0"/>
        <v>3RO A12</v>
      </c>
      <c r="B88" s="1">
        <v>12</v>
      </c>
      <c r="C88" s="1" t="s">
        <v>100</v>
      </c>
      <c r="D88" s="1" t="s">
        <v>101</v>
      </c>
      <c r="E88" s="1" t="s">
        <v>70</v>
      </c>
      <c r="F88" s="15" t="s">
        <v>71</v>
      </c>
      <c r="G88" s="1" t="s">
        <v>14</v>
      </c>
    </row>
    <row r="89" spans="1:7" ht="15.75" customHeight="1" x14ac:dyDescent="0.3">
      <c r="A89" s="1" t="str">
        <f t="shared" si="0"/>
        <v>3RO B1</v>
      </c>
      <c r="B89" s="1">
        <v>1</v>
      </c>
      <c r="C89" s="1" t="s">
        <v>84</v>
      </c>
      <c r="D89" s="1" t="s">
        <v>105</v>
      </c>
      <c r="E89" s="1" t="s">
        <v>74</v>
      </c>
      <c r="F89" s="16" t="s">
        <v>75</v>
      </c>
      <c r="G89" s="1" t="s">
        <v>14</v>
      </c>
    </row>
    <row r="90" spans="1:7" ht="15.75" customHeight="1" x14ac:dyDescent="0.3">
      <c r="A90" s="1" t="str">
        <f t="shared" si="0"/>
        <v>3RO B2</v>
      </c>
      <c r="B90" s="1">
        <v>2</v>
      </c>
      <c r="C90" s="1" t="s">
        <v>106</v>
      </c>
      <c r="D90" s="1" t="s">
        <v>107</v>
      </c>
      <c r="E90" s="1" t="s">
        <v>74</v>
      </c>
      <c r="F90" s="16" t="s">
        <v>75</v>
      </c>
      <c r="G90" s="1" t="s">
        <v>14</v>
      </c>
    </row>
    <row r="91" spans="1:7" ht="15.75" customHeight="1" x14ac:dyDescent="0.3">
      <c r="A91" s="1" t="str">
        <f t="shared" si="0"/>
        <v>3RO B3</v>
      </c>
      <c r="B91" s="1">
        <v>3</v>
      </c>
      <c r="C91" s="1" t="s">
        <v>111</v>
      </c>
      <c r="D91" s="1" t="s">
        <v>95</v>
      </c>
      <c r="E91" s="1" t="s">
        <v>74</v>
      </c>
      <c r="F91" s="16" t="s">
        <v>75</v>
      </c>
      <c r="G91" s="1" t="s">
        <v>14</v>
      </c>
    </row>
    <row r="92" spans="1:7" ht="15.75" customHeight="1" x14ac:dyDescent="0.3">
      <c r="A92" s="1" t="str">
        <f t="shared" si="0"/>
        <v>3RO B4</v>
      </c>
      <c r="B92" s="1">
        <v>4</v>
      </c>
      <c r="C92" s="1" t="s">
        <v>111</v>
      </c>
      <c r="D92" s="1" t="s">
        <v>97</v>
      </c>
      <c r="E92" s="1" t="s">
        <v>74</v>
      </c>
      <c r="F92" s="16" t="s">
        <v>75</v>
      </c>
      <c r="G92" s="1" t="s">
        <v>14</v>
      </c>
    </row>
    <row r="93" spans="1:7" ht="15.75" customHeight="1" x14ac:dyDescent="0.3">
      <c r="A93" s="1" t="str">
        <f t="shared" si="0"/>
        <v>3RO B5</v>
      </c>
      <c r="B93" s="1">
        <v>5</v>
      </c>
      <c r="C93" s="1" t="s">
        <v>111</v>
      </c>
      <c r="D93" s="1" t="s">
        <v>96</v>
      </c>
      <c r="E93" s="1" t="s">
        <v>74</v>
      </c>
      <c r="F93" s="16" t="s">
        <v>75</v>
      </c>
      <c r="G93" s="1" t="s">
        <v>14</v>
      </c>
    </row>
    <row r="94" spans="1:7" ht="15.75" customHeight="1" x14ac:dyDescent="0.3">
      <c r="A94" s="1" t="str">
        <f t="shared" si="0"/>
        <v>3RO B6</v>
      </c>
      <c r="B94" s="1">
        <v>6</v>
      </c>
      <c r="C94" s="1" t="s">
        <v>112</v>
      </c>
      <c r="D94" s="1" t="s">
        <v>85</v>
      </c>
      <c r="E94" s="1" t="s">
        <v>74</v>
      </c>
      <c r="F94" s="16" t="s">
        <v>75</v>
      </c>
      <c r="G94" s="1" t="s">
        <v>14</v>
      </c>
    </row>
    <row r="95" spans="1:7" ht="15.75" customHeight="1" x14ac:dyDescent="0.3">
      <c r="A95" s="1" t="str">
        <f t="shared" si="0"/>
        <v>3RO B7</v>
      </c>
      <c r="B95" s="1">
        <v>7</v>
      </c>
      <c r="C95" s="1" t="s">
        <v>104</v>
      </c>
      <c r="D95" s="1" t="s">
        <v>113</v>
      </c>
      <c r="E95" s="1" t="s">
        <v>74</v>
      </c>
      <c r="F95" s="16" t="s">
        <v>75</v>
      </c>
      <c r="G95" s="1" t="s">
        <v>14</v>
      </c>
    </row>
    <row r="96" spans="1:7" ht="15.75" customHeight="1" x14ac:dyDescent="0.3">
      <c r="A96" s="1" t="str">
        <f t="shared" si="0"/>
        <v>3RO B8</v>
      </c>
      <c r="B96" s="1">
        <v>8</v>
      </c>
      <c r="C96" s="1" t="s">
        <v>92</v>
      </c>
      <c r="D96" s="1" t="s">
        <v>93</v>
      </c>
      <c r="E96" s="1" t="s">
        <v>74</v>
      </c>
      <c r="F96" s="16" t="s">
        <v>75</v>
      </c>
      <c r="G96" s="1" t="s">
        <v>14</v>
      </c>
    </row>
    <row r="97" spans="1:7" ht="15.75" customHeight="1" x14ac:dyDescent="0.3">
      <c r="A97" s="1" t="str">
        <f t="shared" si="0"/>
        <v>3RO B9</v>
      </c>
      <c r="B97" s="1">
        <v>9</v>
      </c>
      <c r="C97" s="1" t="s">
        <v>114</v>
      </c>
      <c r="D97" s="1" t="s">
        <v>110</v>
      </c>
      <c r="E97" s="1" t="s">
        <v>74</v>
      </c>
      <c r="F97" s="16" t="s">
        <v>75</v>
      </c>
      <c r="G97" s="1" t="s">
        <v>14</v>
      </c>
    </row>
    <row r="98" spans="1:7" ht="15.75" customHeight="1" x14ac:dyDescent="0.3">
      <c r="A98" s="1" t="str">
        <f t="shared" si="0"/>
        <v>3RO B10</v>
      </c>
      <c r="B98" s="1">
        <v>10</v>
      </c>
      <c r="C98" s="1" t="s">
        <v>114</v>
      </c>
      <c r="D98" s="1" t="s">
        <v>115</v>
      </c>
      <c r="E98" s="1" t="s">
        <v>74</v>
      </c>
      <c r="F98" s="16" t="s">
        <v>75</v>
      </c>
      <c r="G98" s="1" t="s">
        <v>14</v>
      </c>
    </row>
    <row r="99" spans="1:7" ht="15.75" customHeight="1" x14ac:dyDescent="0.3">
      <c r="A99" s="1" t="str">
        <f t="shared" si="0"/>
        <v>3RO B11</v>
      </c>
      <c r="B99" s="1">
        <v>11</v>
      </c>
      <c r="C99" s="1" t="s">
        <v>98</v>
      </c>
      <c r="D99" s="1" t="s">
        <v>99</v>
      </c>
      <c r="E99" s="1" t="s">
        <v>74</v>
      </c>
      <c r="F99" s="16" t="s">
        <v>75</v>
      </c>
      <c r="G99" s="1" t="s">
        <v>14</v>
      </c>
    </row>
    <row r="100" spans="1:7" ht="15.75" customHeight="1" x14ac:dyDescent="0.3">
      <c r="A100" s="1" t="str">
        <f t="shared" si="0"/>
        <v>3RO B12</v>
      </c>
      <c r="B100" s="1">
        <v>12</v>
      </c>
      <c r="C100" s="1" t="s">
        <v>100</v>
      </c>
      <c r="D100" s="1" t="s">
        <v>101</v>
      </c>
      <c r="E100" s="1" t="s">
        <v>74</v>
      </c>
      <c r="F100" s="16" t="s">
        <v>75</v>
      </c>
      <c r="G100" s="1" t="s">
        <v>14</v>
      </c>
    </row>
    <row r="101" spans="1:7" ht="15.75" customHeight="1" x14ac:dyDescent="0.3">
      <c r="A101" s="1" t="str">
        <f t="shared" si="0"/>
        <v>1RO G.F.C. A1</v>
      </c>
      <c r="B101" s="1">
        <v>1</v>
      </c>
      <c r="C101" s="1" t="s">
        <v>84</v>
      </c>
      <c r="D101" s="1" t="s">
        <v>105</v>
      </c>
      <c r="E101" s="1" t="s">
        <v>68</v>
      </c>
      <c r="F101" s="15" t="s">
        <v>67</v>
      </c>
      <c r="G101" s="1" t="s">
        <v>15</v>
      </c>
    </row>
    <row r="102" spans="1:7" ht="15.75" customHeight="1" x14ac:dyDescent="0.3">
      <c r="A102" s="1" t="str">
        <f t="shared" si="0"/>
        <v>1RO G.F.C. A2</v>
      </c>
      <c r="B102" s="1">
        <v>2</v>
      </c>
      <c r="C102" s="1" t="s">
        <v>84</v>
      </c>
      <c r="D102" s="1" t="s">
        <v>85</v>
      </c>
      <c r="E102" s="1" t="s">
        <v>68</v>
      </c>
      <c r="F102" s="15" t="s">
        <v>67</v>
      </c>
      <c r="G102" s="1" t="s">
        <v>15</v>
      </c>
    </row>
    <row r="103" spans="1:7" ht="15.75" customHeight="1" x14ac:dyDescent="0.3">
      <c r="A103" s="1" t="str">
        <f t="shared" si="0"/>
        <v>1RO G.F.C. A3</v>
      </c>
      <c r="B103" s="1">
        <v>3</v>
      </c>
      <c r="C103" s="1" t="s">
        <v>106</v>
      </c>
      <c r="D103" s="1" t="s">
        <v>107</v>
      </c>
      <c r="E103" s="1" t="s">
        <v>68</v>
      </c>
      <c r="F103" s="15" t="s">
        <v>67</v>
      </c>
      <c r="G103" s="1" t="s">
        <v>15</v>
      </c>
    </row>
    <row r="104" spans="1:7" ht="15.75" customHeight="1" x14ac:dyDescent="0.3">
      <c r="A104" s="1" t="str">
        <f t="shared" si="0"/>
        <v>1RO G.F.C. A4</v>
      </c>
      <c r="B104" s="1">
        <v>4</v>
      </c>
      <c r="C104" s="1" t="s">
        <v>86</v>
      </c>
      <c r="D104" s="1" t="s">
        <v>108</v>
      </c>
      <c r="E104" s="1" t="s">
        <v>68</v>
      </c>
      <c r="F104" s="15" t="s">
        <v>67</v>
      </c>
      <c r="G104" s="1" t="s">
        <v>15</v>
      </c>
    </row>
    <row r="105" spans="1:7" ht="15.75" customHeight="1" x14ac:dyDescent="0.3">
      <c r="A105" s="1" t="str">
        <f t="shared" si="0"/>
        <v>1RO G.F.C. A5</v>
      </c>
      <c r="B105" s="1">
        <v>5</v>
      </c>
      <c r="C105" s="1" t="s">
        <v>88</v>
      </c>
      <c r="D105" s="1" t="s">
        <v>117</v>
      </c>
      <c r="E105" s="1" t="s">
        <v>68</v>
      </c>
      <c r="F105" s="15" t="s">
        <v>67</v>
      </c>
      <c r="G105" s="1" t="s">
        <v>15</v>
      </c>
    </row>
    <row r="106" spans="1:7" ht="15.75" customHeight="1" x14ac:dyDescent="0.3">
      <c r="A106" s="1" t="str">
        <f t="shared" si="0"/>
        <v>1RO G.F.C. A6</v>
      </c>
      <c r="B106" s="1">
        <v>6</v>
      </c>
      <c r="C106" s="1" t="s">
        <v>118</v>
      </c>
      <c r="D106" s="1" t="s">
        <v>97</v>
      </c>
      <c r="E106" s="1" t="s">
        <v>68</v>
      </c>
      <c r="F106" s="15" t="s">
        <v>67</v>
      </c>
      <c r="G106" s="1" t="s">
        <v>15</v>
      </c>
    </row>
    <row r="107" spans="1:7" ht="15.75" customHeight="1" x14ac:dyDescent="0.3">
      <c r="A107" s="1" t="str">
        <f t="shared" si="0"/>
        <v>1RO G.F.C. A7</v>
      </c>
      <c r="B107" s="1">
        <v>7</v>
      </c>
      <c r="C107" s="1" t="s">
        <v>118</v>
      </c>
      <c r="D107" s="1" t="s">
        <v>119</v>
      </c>
      <c r="E107" s="1" t="s">
        <v>68</v>
      </c>
      <c r="F107" s="15" t="s">
        <v>67</v>
      </c>
      <c r="G107" s="1" t="s">
        <v>15</v>
      </c>
    </row>
    <row r="108" spans="1:7" ht="15.75" customHeight="1" x14ac:dyDescent="0.3">
      <c r="A108" s="1" t="str">
        <f t="shared" si="0"/>
        <v>1RO G.F.C. A8</v>
      </c>
      <c r="B108" s="1">
        <v>8</v>
      </c>
      <c r="C108" s="1" t="s">
        <v>118</v>
      </c>
      <c r="D108" s="1" t="s">
        <v>120</v>
      </c>
      <c r="E108" s="1" t="s">
        <v>68</v>
      </c>
      <c r="F108" s="15" t="s">
        <v>67</v>
      </c>
      <c r="G108" s="1" t="s">
        <v>15</v>
      </c>
    </row>
    <row r="109" spans="1:7" ht="15.75" customHeight="1" x14ac:dyDescent="0.3">
      <c r="A109" s="1" t="str">
        <f t="shared" si="0"/>
        <v>1RO G.F.C. A9</v>
      </c>
      <c r="B109" s="1">
        <v>9</v>
      </c>
      <c r="C109" s="1" t="s">
        <v>90</v>
      </c>
      <c r="D109" s="1" t="s">
        <v>110</v>
      </c>
      <c r="E109" s="1" t="s">
        <v>68</v>
      </c>
      <c r="F109" s="15" t="s">
        <v>67</v>
      </c>
      <c r="G109" s="1" t="s">
        <v>15</v>
      </c>
    </row>
    <row r="110" spans="1:7" ht="15.75" customHeight="1" x14ac:dyDescent="0.3">
      <c r="A110" s="1" t="str">
        <f t="shared" si="0"/>
        <v>1RO G.F.C. A10</v>
      </c>
      <c r="B110" s="1">
        <v>10</v>
      </c>
      <c r="C110" s="1" t="s">
        <v>90</v>
      </c>
      <c r="D110" s="1" t="s">
        <v>121</v>
      </c>
      <c r="E110" s="1" t="s">
        <v>68</v>
      </c>
      <c r="F110" s="15" t="s">
        <v>67</v>
      </c>
      <c r="G110" s="1" t="s">
        <v>15</v>
      </c>
    </row>
    <row r="111" spans="1:7" ht="15.75" customHeight="1" x14ac:dyDescent="0.3">
      <c r="A111" s="1" t="str">
        <f t="shared" si="0"/>
        <v>1RO G.F.C. A11</v>
      </c>
      <c r="B111" s="1">
        <v>11</v>
      </c>
      <c r="C111" s="1" t="s">
        <v>90</v>
      </c>
      <c r="D111" s="1" t="s">
        <v>122</v>
      </c>
      <c r="E111" s="1" t="s">
        <v>68</v>
      </c>
      <c r="F111" s="15" t="s">
        <v>67</v>
      </c>
      <c r="G111" s="1" t="s">
        <v>15</v>
      </c>
    </row>
    <row r="112" spans="1:7" ht="15.75" customHeight="1" x14ac:dyDescent="0.3">
      <c r="A112" s="1" t="str">
        <f t="shared" si="0"/>
        <v>1RO G.F.C. A12</v>
      </c>
      <c r="B112" s="1">
        <v>12</v>
      </c>
      <c r="C112" s="1" t="s">
        <v>123</v>
      </c>
      <c r="D112" s="1" t="s">
        <v>124</v>
      </c>
      <c r="E112" s="1" t="s">
        <v>68</v>
      </c>
      <c r="F112" s="15" t="s">
        <v>67</v>
      </c>
      <c r="G112" s="1" t="s">
        <v>15</v>
      </c>
    </row>
    <row r="113" spans="1:7" ht="15.75" customHeight="1" x14ac:dyDescent="0.3">
      <c r="A113" s="1" t="str">
        <f t="shared" si="0"/>
        <v>1RO G.F.C. A13</v>
      </c>
      <c r="B113" s="1">
        <v>13</v>
      </c>
      <c r="C113" s="1" t="s">
        <v>123</v>
      </c>
      <c r="D113" s="1" t="s">
        <v>125</v>
      </c>
      <c r="E113" s="1" t="s">
        <v>68</v>
      </c>
      <c r="F113" s="15" t="s">
        <v>67</v>
      </c>
      <c r="G113" s="1" t="s">
        <v>15</v>
      </c>
    </row>
    <row r="114" spans="1:7" ht="15.75" customHeight="1" x14ac:dyDescent="0.3">
      <c r="A114" s="1" t="str">
        <f t="shared" si="0"/>
        <v>1RO G.F.C. A14</v>
      </c>
      <c r="B114" s="1">
        <v>14</v>
      </c>
      <c r="C114" s="1" t="s">
        <v>104</v>
      </c>
      <c r="D114" s="1" t="s">
        <v>113</v>
      </c>
      <c r="E114" s="1" t="s">
        <v>68</v>
      </c>
      <c r="F114" s="15" t="s">
        <v>67</v>
      </c>
      <c r="G114" s="1" t="s">
        <v>15</v>
      </c>
    </row>
    <row r="115" spans="1:7" ht="15.75" customHeight="1" x14ac:dyDescent="0.3">
      <c r="A115" s="1" t="str">
        <f t="shared" si="0"/>
        <v>1RO G.F.C. A15</v>
      </c>
      <c r="B115" s="1">
        <v>15</v>
      </c>
      <c r="C115" s="1" t="s">
        <v>92</v>
      </c>
      <c r="D115" s="1" t="s">
        <v>93</v>
      </c>
      <c r="E115" s="1" t="s">
        <v>68</v>
      </c>
      <c r="F115" s="15" t="s">
        <v>67</v>
      </c>
      <c r="G115" s="1" t="s">
        <v>15</v>
      </c>
    </row>
    <row r="116" spans="1:7" ht="15.75" customHeight="1" x14ac:dyDescent="0.3">
      <c r="A116" s="1" t="str">
        <f t="shared" si="0"/>
        <v>1RO G.F.C. A16</v>
      </c>
      <c r="B116" s="1">
        <v>16</v>
      </c>
      <c r="C116" s="1" t="s">
        <v>92</v>
      </c>
      <c r="D116" s="1" t="s">
        <v>126</v>
      </c>
      <c r="E116" s="1" t="s">
        <v>68</v>
      </c>
      <c r="F116" s="15" t="s">
        <v>67</v>
      </c>
      <c r="G116" s="1" t="s">
        <v>15</v>
      </c>
    </row>
    <row r="117" spans="1:7" ht="15.75" customHeight="1" x14ac:dyDescent="0.3">
      <c r="A117" s="1" t="str">
        <f t="shared" si="0"/>
        <v>1RO G.F.C. A17</v>
      </c>
      <c r="B117" s="1">
        <v>17</v>
      </c>
      <c r="C117" s="1" t="s">
        <v>94</v>
      </c>
      <c r="D117" s="1" t="s">
        <v>95</v>
      </c>
      <c r="E117" s="1" t="s">
        <v>68</v>
      </c>
      <c r="F117" s="15" t="s">
        <v>67</v>
      </c>
      <c r="G117" s="1" t="s">
        <v>15</v>
      </c>
    </row>
    <row r="118" spans="1:7" ht="15.75" customHeight="1" x14ac:dyDescent="0.3">
      <c r="A118" s="1" t="str">
        <f t="shared" si="0"/>
        <v>1RO G.F.C. A18</v>
      </c>
      <c r="B118" s="1">
        <v>18</v>
      </c>
      <c r="C118" s="1" t="s">
        <v>114</v>
      </c>
      <c r="D118" s="1" t="s">
        <v>109</v>
      </c>
      <c r="E118" s="1" t="s">
        <v>68</v>
      </c>
      <c r="F118" s="15" t="s">
        <v>67</v>
      </c>
      <c r="G118" s="1" t="s">
        <v>15</v>
      </c>
    </row>
    <row r="119" spans="1:7" ht="15.75" customHeight="1" x14ac:dyDescent="0.3">
      <c r="A119" s="1" t="str">
        <f t="shared" si="0"/>
        <v>1RO G.F.C. A19</v>
      </c>
      <c r="B119" s="1">
        <v>19</v>
      </c>
      <c r="C119" s="1" t="s">
        <v>98</v>
      </c>
      <c r="D119" s="1" t="s">
        <v>99</v>
      </c>
      <c r="E119" s="1" t="s">
        <v>68</v>
      </c>
      <c r="F119" s="15" t="s">
        <v>67</v>
      </c>
      <c r="G119" s="1" t="s">
        <v>15</v>
      </c>
    </row>
    <row r="120" spans="1:7" ht="15.75" customHeight="1" x14ac:dyDescent="0.3">
      <c r="A120" s="1" t="str">
        <f t="shared" si="0"/>
        <v>1RO G.F.C. A20</v>
      </c>
      <c r="B120" s="1">
        <v>20</v>
      </c>
      <c r="C120" s="1" t="s">
        <v>100</v>
      </c>
      <c r="D120" s="1" t="s">
        <v>101</v>
      </c>
      <c r="E120" s="1" t="s">
        <v>68</v>
      </c>
      <c r="F120" s="15" t="s">
        <v>67</v>
      </c>
      <c r="G120" s="1" t="s">
        <v>15</v>
      </c>
    </row>
    <row r="121" spans="1:7" ht="15.75" customHeight="1" x14ac:dyDescent="0.3">
      <c r="A121" s="1" t="str">
        <f t="shared" si="0"/>
        <v>1RO S.I. A1</v>
      </c>
      <c r="B121" s="1">
        <v>1</v>
      </c>
      <c r="C121" s="1" t="s">
        <v>84</v>
      </c>
      <c r="D121" s="1" t="s">
        <v>105</v>
      </c>
      <c r="E121" s="1" t="s">
        <v>76</v>
      </c>
      <c r="F121" s="15" t="s">
        <v>77</v>
      </c>
      <c r="G121" s="1" t="s">
        <v>15</v>
      </c>
    </row>
    <row r="122" spans="1:7" ht="15.75" customHeight="1" x14ac:dyDescent="0.3">
      <c r="A122" s="1" t="str">
        <f t="shared" si="0"/>
        <v>1RO S.I. A2</v>
      </c>
      <c r="B122" s="1">
        <v>2</v>
      </c>
      <c r="C122" s="1" t="s">
        <v>102</v>
      </c>
      <c r="D122" s="1" t="s">
        <v>97</v>
      </c>
      <c r="E122" s="1" t="s">
        <v>76</v>
      </c>
      <c r="F122" s="15" t="s">
        <v>77</v>
      </c>
      <c r="G122" s="1" t="s">
        <v>15</v>
      </c>
    </row>
    <row r="123" spans="1:7" ht="15.75" customHeight="1" x14ac:dyDescent="0.3">
      <c r="A123" s="1" t="str">
        <f t="shared" si="0"/>
        <v>1RO S.I. A3</v>
      </c>
      <c r="B123" s="1">
        <v>3</v>
      </c>
      <c r="C123" s="1" t="s">
        <v>102</v>
      </c>
      <c r="D123" s="1" t="s">
        <v>127</v>
      </c>
      <c r="E123" s="1" t="s">
        <v>76</v>
      </c>
      <c r="F123" s="15" t="s">
        <v>77</v>
      </c>
      <c r="G123" s="1" t="s">
        <v>15</v>
      </c>
    </row>
    <row r="124" spans="1:7" ht="15.75" customHeight="1" x14ac:dyDescent="0.3">
      <c r="A124" s="1" t="str">
        <f t="shared" si="0"/>
        <v>1RO S.I. A4</v>
      </c>
      <c r="B124" s="1">
        <v>4</v>
      </c>
      <c r="C124" s="1" t="s">
        <v>102</v>
      </c>
      <c r="D124" s="1" t="s">
        <v>128</v>
      </c>
      <c r="E124" s="1" t="s">
        <v>76</v>
      </c>
      <c r="F124" s="15" t="s">
        <v>77</v>
      </c>
      <c r="G124" s="1" t="s">
        <v>15</v>
      </c>
    </row>
    <row r="125" spans="1:7" ht="15.75" customHeight="1" x14ac:dyDescent="0.3">
      <c r="A125" s="1" t="str">
        <f t="shared" si="0"/>
        <v>1RO S.I. A5</v>
      </c>
      <c r="B125" s="1">
        <v>5</v>
      </c>
      <c r="C125" s="1" t="s">
        <v>102</v>
      </c>
      <c r="D125" s="1" t="s">
        <v>129</v>
      </c>
      <c r="E125" s="1" t="s">
        <v>76</v>
      </c>
      <c r="F125" s="15" t="s">
        <v>77</v>
      </c>
      <c r="G125" s="1" t="s">
        <v>15</v>
      </c>
    </row>
    <row r="126" spans="1:7" ht="15.75" customHeight="1" x14ac:dyDescent="0.3">
      <c r="A126" s="1" t="str">
        <f t="shared" si="0"/>
        <v>1RO S.I. A6</v>
      </c>
      <c r="B126" s="1">
        <v>6</v>
      </c>
      <c r="C126" s="1" t="s">
        <v>106</v>
      </c>
      <c r="D126" s="1" t="s">
        <v>107</v>
      </c>
      <c r="E126" s="1" t="s">
        <v>76</v>
      </c>
      <c r="F126" s="15" t="s">
        <v>77</v>
      </c>
      <c r="G126" s="1" t="s">
        <v>15</v>
      </c>
    </row>
    <row r="127" spans="1:7" ht="15.75" customHeight="1" x14ac:dyDescent="0.3">
      <c r="A127" s="1" t="str">
        <f t="shared" si="0"/>
        <v>1RO S.I. A7</v>
      </c>
      <c r="B127" s="1">
        <v>7</v>
      </c>
      <c r="C127" s="1" t="s">
        <v>86</v>
      </c>
      <c r="D127" s="1" t="s">
        <v>108</v>
      </c>
      <c r="E127" s="1" t="s">
        <v>76</v>
      </c>
      <c r="F127" s="15" t="s">
        <v>77</v>
      </c>
      <c r="G127" s="1" t="s">
        <v>15</v>
      </c>
    </row>
    <row r="128" spans="1:7" ht="15.75" customHeight="1" x14ac:dyDescent="0.3">
      <c r="A128" s="1" t="str">
        <f t="shared" si="0"/>
        <v>1RO S.I. A8</v>
      </c>
      <c r="B128" s="1">
        <v>8</v>
      </c>
      <c r="C128" s="1" t="s">
        <v>88</v>
      </c>
      <c r="D128" s="1" t="s">
        <v>93</v>
      </c>
      <c r="E128" s="1" t="s">
        <v>76</v>
      </c>
      <c r="F128" s="15" t="s">
        <v>77</v>
      </c>
      <c r="G128" s="1" t="s">
        <v>15</v>
      </c>
    </row>
    <row r="129" spans="1:7" ht="15.75" customHeight="1" x14ac:dyDescent="0.3">
      <c r="A129" s="1" t="str">
        <f t="shared" si="0"/>
        <v>1RO S.I. A9</v>
      </c>
      <c r="B129" s="1">
        <v>9</v>
      </c>
      <c r="C129" s="1" t="s">
        <v>90</v>
      </c>
      <c r="D129" s="1" t="s">
        <v>109</v>
      </c>
      <c r="E129" s="1" t="s">
        <v>76</v>
      </c>
      <c r="F129" s="15" t="s">
        <v>77</v>
      </c>
      <c r="G129" s="1" t="s">
        <v>15</v>
      </c>
    </row>
    <row r="130" spans="1:7" ht="15.75" customHeight="1" x14ac:dyDescent="0.3">
      <c r="A130" s="1" t="str">
        <f t="shared" si="0"/>
        <v>1RO S.I. A10</v>
      </c>
      <c r="B130" s="1">
        <v>10</v>
      </c>
      <c r="C130" s="1" t="s">
        <v>90</v>
      </c>
      <c r="D130" s="1" t="s">
        <v>110</v>
      </c>
      <c r="E130" s="1" t="s">
        <v>76</v>
      </c>
      <c r="F130" s="15" t="s">
        <v>77</v>
      </c>
      <c r="G130" s="1" t="s">
        <v>15</v>
      </c>
    </row>
    <row r="131" spans="1:7" ht="15.75" customHeight="1" x14ac:dyDescent="0.3">
      <c r="A131" s="1" t="str">
        <f t="shared" si="0"/>
        <v>1RO S.I. A11</v>
      </c>
      <c r="B131" s="1">
        <v>11</v>
      </c>
      <c r="C131" s="1" t="s">
        <v>90</v>
      </c>
      <c r="D131" s="1" t="s">
        <v>130</v>
      </c>
      <c r="E131" s="1" t="s">
        <v>76</v>
      </c>
      <c r="F131" s="15" t="s">
        <v>77</v>
      </c>
      <c r="G131" s="1" t="s">
        <v>15</v>
      </c>
    </row>
    <row r="132" spans="1:7" ht="15.75" customHeight="1" x14ac:dyDescent="0.3">
      <c r="A132" s="1" t="str">
        <f t="shared" si="0"/>
        <v>1RO S.I. A12</v>
      </c>
      <c r="B132" s="1">
        <v>12</v>
      </c>
      <c r="C132" s="1" t="s">
        <v>123</v>
      </c>
      <c r="D132" s="1" t="s">
        <v>124</v>
      </c>
      <c r="E132" s="1" t="s">
        <v>76</v>
      </c>
      <c r="F132" s="15" t="s">
        <v>77</v>
      </c>
      <c r="G132" s="1" t="s">
        <v>15</v>
      </c>
    </row>
    <row r="133" spans="1:7" ht="15.75" customHeight="1" x14ac:dyDescent="0.3">
      <c r="A133" s="1" t="str">
        <f t="shared" si="0"/>
        <v>1RO S.I. A13</v>
      </c>
      <c r="B133" s="1">
        <v>13</v>
      </c>
      <c r="C133" s="1" t="s">
        <v>123</v>
      </c>
      <c r="D133" s="1" t="s">
        <v>125</v>
      </c>
      <c r="E133" s="1" t="s">
        <v>76</v>
      </c>
      <c r="F133" s="15" t="s">
        <v>77</v>
      </c>
      <c r="G133" s="1" t="s">
        <v>15</v>
      </c>
    </row>
    <row r="134" spans="1:7" ht="15.75" customHeight="1" x14ac:dyDescent="0.3">
      <c r="A134" s="1" t="str">
        <f t="shared" si="0"/>
        <v>1RO S.I. A14</v>
      </c>
      <c r="B134" s="1">
        <v>14</v>
      </c>
      <c r="C134" s="1" t="s">
        <v>103</v>
      </c>
      <c r="D134" s="1" t="s">
        <v>131</v>
      </c>
      <c r="E134" s="1" t="s">
        <v>76</v>
      </c>
      <c r="F134" s="15" t="s">
        <v>77</v>
      </c>
      <c r="G134" s="1" t="s">
        <v>15</v>
      </c>
    </row>
    <row r="135" spans="1:7" ht="15.75" customHeight="1" x14ac:dyDescent="0.3">
      <c r="A135" s="1" t="str">
        <f t="shared" si="0"/>
        <v>1RO S.I. A15</v>
      </c>
      <c r="B135" s="1">
        <v>15</v>
      </c>
      <c r="C135" s="1" t="s">
        <v>103</v>
      </c>
      <c r="D135" s="1" t="s">
        <v>132</v>
      </c>
      <c r="E135" s="1" t="s">
        <v>76</v>
      </c>
      <c r="F135" s="15" t="s">
        <v>77</v>
      </c>
      <c r="G135" s="1" t="s">
        <v>15</v>
      </c>
    </row>
    <row r="136" spans="1:7" ht="15.75" customHeight="1" x14ac:dyDescent="0.3">
      <c r="A136" s="1" t="str">
        <f t="shared" si="0"/>
        <v>1RO S.I. A16</v>
      </c>
      <c r="B136" s="1">
        <v>16</v>
      </c>
      <c r="C136" s="1" t="s">
        <v>112</v>
      </c>
      <c r="D136" s="1" t="s">
        <v>85</v>
      </c>
      <c r="E136" s="1" t="s">
        <v>76</v>
      </c>
      <c r="F136" s="15" t="s">
        <v>77</v>
      </c>
      <c r="G136" s="1" t="s">
        <v>15</v>
      </c>
    </row>
    <row r="137" spans="1:7" ht="15.75" customHeight="1" x14ac:dyDescent="0.3">
      <c r="A137" s="1" t="str">
        <f t="shared" si="0"/>
        <v>1RO S.I. A17</v>
      </c>
      <c r="B137" s="1">
        <v>17</v>
      </c>
      <c r="C137" s="1" t="s">
        <v>104</v>
      </c>
      <c r="D137" s="1" t="s">
        <v>113</v>
      </c>
      <c r="E137" s="1" t="s">
        <v>76</v>
      </c>
      <c r="F137" s="15" t="s">
        <v>77</v>
      </c>
      <c r="G137" s="1" t="s">
        <v>15</v>
      </c>
    </row>
    <row r="138" spans="1:7" ht="15.75" customHeight="1" x14ac:dyDescent="0.3">
      <c r="A138" s="1" t="str">
        <f t="shared" si="0"/>
        <v>1RO S.I. A18</v>
      </c>
      <c r="B138" s="1">
        <v>18</v>
      </c>
      <c r="C138" s="1" t="s">
        <v>94</v>
      </c>
      <c r="D138" s="1" t="s">
        <v>95</v>
      </c>
      <c r="E138" s="1" t="s">
        <v>76</v>
      </c>
      <c r="F138" s="15" t="s">
        <v>77</v>
      </c>
      <c r="G138" s="1" t="s">
        <v>15</v>
      </c>
    </row>
    <row r="139" spans="1:7" ht="15.75" customHeight="1" x14ac:dyDescent="0.3">
      <c r="A139" s="1" t="str">
        <f t="shared" si="0"/>
        <v>1RO S.I. A19</v>
      </c>
      <c r="B139" s="1">
        <v>19</v>
      </c>
      <c r="C139" s="1" t="s">
        <v>98</v>
      </c>
      <c r="D139" s="1" t="s">
        <v>99</v>
      </c>
      <c r="E139" s="1" t="s">
        <v>76</v>
      </c>
      <c r="F139" s="15" t="s">
        <v>77</v>
      </c>
      <c r="G139" s="1" t="s">
        <v>15</v>
      </c>
    </row>
    <row r="140" spans="1:7" ht="15.75" customHeight="1" x14ac:dyDescent="0.3">
      <c r="A140" s="1" t="str">
        <f t="shared" si="0"/>
        <v>1RO S.I. A20</v>
      </c>
      <c r="B140" s="1">
        <v>20</v>
      </c>
      <c r="C140" s="1" t="s">
        <v>100</v>
      </c>
      <c r="D140" s="1" t="s">
        <v>101</v>
      </c>
      <c r="E140" s="1" t="s">
        <v>76</v>
      </c>
      <c r="F140" s="15" t="s">
        <v>77</v>
      </c>
      <c r="G140" s="1" t="s">
        <v>15</v>
      </c>
    </row>
    <row r="141" spans="1:7" ht="15.75" customHeight="1" x14ac:dyDescent="0.3">
      <c r="A141" s="1" t="str">
        <f t="shared" si="0"/>
        <v>2DO C.A1</v>
      </c>
      <c r="B141" s="1">
        <v>1</v>
      </c>
      <c r="C141" s="1" t="s">
        <v>84</v>
      </c>
      <c r="D141" s="1" t="s">
        <v>105</v>
      </c>
      <c r="E141" s="1" t="s">
        <v>73</v>
      </c>
      <c r="F141" s="15" t="s">
        <v>72</v>
      </c>
      <c r="G141" s="1" t="s">
        <v>16</v>
      </c>
    </row>
    <row r="142" spans="1:7" ht="15.75" customHeight="1" x14ac:dyDescent="0.3">
      <c r="A142" s="1" t="str">
        <f t="shared" si="0"/>
        <v>2DO C.A2</v>
      </c>
      <c r="B142" s="1">
        <v>2</v>
      </c>
      <c r="C142" s="1" t="s">
        <v>84</v>
      </c>
      <c r="D142" s="1" t="s">
        <v>85</v>
      </c>
      <c r="E142" s="1" t="s">
        <v>73</v>
      </c>
      <c r="F142" s="15" t="s">
        <v>72</v>
      </c>
      <c r="G142" s="1" t="s">
        <v>16</v>
      </c>
    </row>
    <row r="143" spans="1:7" ht="15.75" customHeight="1" x14ac:dyDescent="0.3">
      <c r="A143" s="1" t="str">
        <f t="shared" si="0"/>
        <v>2DO C.A3</v>
      </c>
      <c r="B143" s="1">
        <v>3</v>
      </c>
      <c r="C143" s="1" t="s">
        <v>106</v>
      </c>
      <c r="D143" s="1" t="s">
        <v>107</v>
      </c>
      <c r="E143" s="1" t="s">
        <v>73</v>
      </c>
      <c r="F143" s="15" t="s">
        <v>72</v>
      </c>
      <c r="G143" s="1" t="s">
        <v>16</v>
      </c>
    </row>
    <row r="144" spans="1:7" ht="15.75" customHeight="1" x14ac:dyDescent="0.3">
      <c r="A144" s="1" t="str">
        <f t="shared" si="0"/>
        <v>2DO C.A4</v>
      </c>
      <c r="B144" s="1">
        <v>4</v>
      </c>
      <c r="C144" s="1" t="s">
        <v>86</v>
      </c>
      <c r="D144" s="1" t="s">
        <v>87</v>
      </c>
      <c r="E144" s="1" t="s">
        <v>73</v>
      </c>
      <c r="F144" s="15" t="s">
        <v>72</v>
      </c>
      <c r="G144" s="1" t="s">
        <v>16</v>
      </c>
    </row>
    <row r="145" spans="1:7" ht="15.75" customHeight="1" x14ac:dyDescent="0.3">
      <c r="A145" s="1" t="str">
        <f t="shared" si="0"/>
        <v>2DO C.A5</v>
      </c>
      <c r="B145" s="1">
        <v>5</v>
      </c>
      <c r="C145" s="1" t="s">
        <v>86</v>
      </c>
      <c r="D145" s="1" t="s">
        <v>108</v>
      </c>
      <c r="E145" s="1" t="s">
        <v>73</v>
      </c>
      <c r="F145" s="15" t="s">
        <v>72</v>
      </c>
      <c r="G145" s="1" t="s">
        <v>16</v>
      </c>
    </row>
    <row r="146" spans="1:7" ht="15.75" customHeight="1" x14ac:dyDescent="0.3">
      <c r="A146" s="1" t="str">
        <f t="shared" si="0"/>
        <v>2DO C.A6</v>
      </c>
      <c r="B146" s="1">
        <v>6</v>
      </c>
      <c r="C146" s="1" t="s">
        <v>88</v>
      </c>
      <c r="D146" s="1" t="s">
        <v>133</v>
      </c>
      <c r="E146" s="1" t="s">
        <v>73</v>
      </c>
      <c r="F146" s="15" t="s">
        <v>72</v>
      </c>
      <c r="G146" s="1" t="s">
        <v>16</v>
      </c>
    </row>
    <row r="147" spans="1:7" ht="15.75" customHeight="1" x14ac:dyDescent="0.3">
      <c r="A147" s="1" t="str">
        <f t="shared" si="0"/>
        <v>2DO C.A7</v>
      </c>
      <c r="B147" s="1">
        <v>7</v>
      </c>
      <c r="C147" s="1" t="s">
        <v>88</v>
      </c>
      <c r="D147" s="1" t="s">
        <v>96</v>
      </c>
      <c r="E147" s="1" t="s">
        <v>73</v>
      </c>
      <c r="F147" s="15" t="s">
        <v>72</v>
      </c>
      <c r="G147" s="1" t="s">
        <v>16</v>
      </c>
    </row>
    <row r="148" spans="1:7" ht="15.75" customHeight="1" x14ac:dyDescent="0.3">
      <c r="A148" s="1" t="str">
        <f t="shared" si="0"/>
        <v>2DO C.A8</v>
      </c>
      <c r="B148" s="1">
        <v>8</v>
      </c>
      <c r="C148" s="1" t="s">
        <v>88</v>
      </c>
      <c r="D148" s="1" t="s">
        <v>97</v>
      </c>
      <c r="E148" s="1" t="s">
        <v>73</v>
      </c>
      <c r="F148" s="15" t="s">
        <v>72</v>
      </c>
      <c r="G148" s="1" t="s">
        <v>16</v>
      </c>
    </row>
    <row r="149" spans="1:7" ht="15.75" customHeight="1" x14ac:dyDescent="0.3">
      <c r="A149" s="1" t="str">
        <f t="shared" si="0"/>
        <v>2DO C.A9</v>
      </c>
      <c r="B149" s="1">
        <v>9</v>
      </c>
      <c r="C149" s="1" t="s">
        <v>118</v>
      </c>
      <c r="D149" s="1" t="s">
        <v>134</v>
      </c>
      <c r="E149" s="1" t="s">
        <v>73</v>
      </c>
      <c r="F149" s="15" t="s">
        <v>72</v>
      </c>
      <c r="G149" s="1" t="s">
        <v>16</v>
      </c>
    </row>
    <row r="150" spans="1:7" ht="15.75" customHeight="1" x14ac:dyDescent="0.3">
      <c r="A150" s="1" t="str">
        <f t="shared" si="0"/>
        <v>2DO C.A10</v>
      </c>
      <c r="B150" s="1">
        <v>10</v>
      </c>
      <c r="C150" s="1" t="s">
        <v>118</v>
      </c>
      <c r="D150" s="1" t="s">
        <v>135</v>
      </c>
      <c r="E150" s="1" t="s">
        <v>73</v>
      </c>
      <c r="F150" s="15" t="s">
        <v>72</v>
      </c>
      <c r="G150" s="1" t="s">
        <v>16</v>
      </c>
    </row>
    <row r="151" spans="1:7" ht="15.75" customHeight="1" x14ac:dyDescent="0.3">
      <c r="A151" s="1" t="str">
        <f t="shared" si="0"/>
        <v>2DO C.A11</v>
      </c>
      <c r="B151" s="1">
        <v>11</v>
      </c>
      <c r="C151" s="1" t="s">
        <v>90</v>
      </c>
      <c r="D151" s="1" t="s">
        <v>110</v>
      </c>
      <c r="E151" s="1" t="s">
        <v>73</v>
      </c>
      <c r="F151" s="15" t="s">
        <v>72</v>
      </c>
      <c r="G151" s="1" t="s">
        <v>16</v>
      </c>
    </row>
    <row r="152" spans="1:7" ht="15.75" customHeight="1" x14ac:dyDescent="0.3">
      <c r="A152" s="1" t="str">
        <f t="shared" si="0"/>
        <v>2DO C.A12</v>
      </c>
      <c r="B152" s="1">
        <v>12</v>
      </c>
      <c r="C152" s="1" t="s">
        <v>111</v>
      </c>
      <c r="D152" s="1" t="s">
        <v>95</v>
      </c>
      <c r="E152" s="1" t="s">
        <v>73</v>
      </c>
      <c r="F152" s="15" t="s">
        <v>72</v>
      </c>
      <c r="G152" s="1" t="s">
        <v>16</v>
      </c>
    </row>
    <row r="153" spans="1:7" ht="15.75" customHeight="1" x14ac:dyDescent="0.3">
      <c r="A153" s="1" t="str">
        <f t="shared" si="0"/>
        <v>2DO C.A13</v>
      </c>
      <c r="B153" s="1">
        <v>13</v>
      </c>
      <c r="C153" s="1" t="s">
        <v>104</v>
      </c>
      <c r="D153" s="1" t="s">
        <v>113</v>
      </c>
      <c r="E153" s="1" t="s">
        <v>73</v>
      </c>
      <c r="F153" s="15" t="s">
        <v>72</v>
      </c>
      <c r="G153" s="1" t="s">
        <v>16</v>
      </c>
    </row>
    <row r="154" spans="1:7" ht="15.75" customHeight="1" x14ac:dyDescent="0.3">
      <c r="A154" s="1" t="str">
        <f t="shared" si="0"/>
        <v>2DO C.A14</v>
      </c>
      <c r="B154" s="1">
        <v>14</v>
      </c>
      <c r="C154" s="1" t="s">
        <v>92</v>
      </c>
      <c r="D154" s="1" t="s">
        <v>93</v>
      </c>
      <c r="E154" s="1" t="s">
        <v>73</v>
      </c>
      <c r="F154" s="15" t="s">
        <v>72</v>
      </c>
      <c r="G154" s="1" t="s">
        <v>16</v>
      </c>
    </row>
    <row r="155" spans="1:7" ht="15.75" customHeight="1" x14ac:dyDescent="0.3">
      <c r="A155" s="1" t="str">
        <f t="shared" si="0"/>
        <v>2DO C.A15</v>
      </c>
      <c r="B155" s="1">
        <v>15</v>
      </c>
      <c r="C155" s="1" t="s">
        <v>114</v>
      </c>
      <c r="D155" s="1" t="s">
        <v>115</v>
      </c>
      <c r="E155" s="1" t="s">
        <v>73</v>
      </c>
      <c r="F155" s="15" t="s">
        <v>72</v>
      </c>
      <c r="G155" s="1" t="s">
        <v>16</v>
      </c>
    </row>
    <row r="156" spans="1:7" ht="15.75" customHeight="1" x14ac:dyDescent="0.3">
      <c r="A156" s="1" t="str">
        <f t="shared" si="0"/>
        <v>2DO C.A16</v>
      </c>
      <c r="B156" s="1">
        <v>16</v>
      </c>
      <c r="C156" s="1" t="s">
        <v>114</v>
      </c>
      <c r="D156" s="1" t="s">
        <v>109</v>
      </c>
      <c r="E156" s="1" t="s">
        <v>73</v>
      </c>
      <c r="F156" s="15" t="s">
        <v>72</v>
      </c>
      <c r="G156" s="1" t="s">
        <v>16</v>
      </c>
    </row>
    <row r="157" spans="1:7" ht="15.75" customHeight="1" x14ac:dyDescent="0.3">
      <c r="A157" s="1" t="str">
        <f t="shared" si="0"/>
        <v>2DO C.A17</v>
      </c>
      <c r="B157" s="1">
        <v>17</v>
      </c>
      <c r="C157" s="1" t="s">
        <v>98</v>
      </c>
      <c r="D157" s="1" t="s">
        <v>99</v>
      </c>
      <c r="E157" s="1" t="s">
        <v>73</v>
      </c>
      <c r="F157" s="15" t="s">
        <v>72</v>
      </c>
      <c r="G157" s="1" t="s">
        <v>16</v>
      </c>
    </row>
    <row r="158" spans="1:7" ht="15.75" customHeight="1" x14ac:dyDescent="0.3">
      <c r="A158" s="1" t="str">
        <f t="shared" si="0"/>
        <v>2DO C.A18</v>
      </c>
      <c r="B158" s="1">
        <v>18</v>
      </c>
      <c r="C158" s="1" t="s">
        <v>100</v>
      </c>
      <c r="D158" s="1" t="s">
        <v>101</v>
      </c>
      <c r="E158" s="1" t="s">
        <v>73</v>
      </c>
      <c r="F158" s="15" t="s">
        <v>72</v>
      </c>
      <c r="G158" s="1" t="s">
        <v>16</v>
      </c>
    </row>
    <row r="159" spans="1:7" ht="15.75" customHeight="1" x14ac:dyDescent="0.3">
      <c r="A159" s="1" t="str">
        <f t="shared" si="0"/>
        <v>3RO C.A1</v>
      </c>
      <c r="B159" s="1">
        <v>1</v>
      </c>
      <c r="C159" s="1" t="s">
        <v>106</v>
      </c>
      <c r="D159" s="1" t="s">
        <v>107</v>
      </c>
      <c r="E159" s="1" t="s">
        <v>69</v>
      </c>
      <c r="F159" s="15" t="s">
        <v>67</v>
      </c>
      <c r="G159" s="1" t="s">
        <v>16</v>
      </c>
    </row>
    <row r="160" spans="1:7" ht="15.75" customHeight="1" x14ac:dyDescent="0.3">
      <c r="A160" s="1" t="str">
        <f t="shared" si="0"/>
        <v>3RO C.A2</v>
      </c>
      <c r="B160" s="1">
        <v>2</v>
      </c>
      <c r="C160" s="1" t="s">
        <v>88</v>
      </c>
      <c r="D160" s="1" t="s">
        <v>93</v>
      </c>
      <c r="E160" s="1" t="s">
        <v>69</v>
      </c>
      <c r="F160" s="15" t="s">
        <v>67</v>
      </c>
      <c r="G160" s="1" t="s">
        <v>16</v>
      </c>
    </row>
    <row r="161" spans="1:7" ht="15.75" customHeight="1" x14ac:dyDescent="0.3">
      <c r="A161" s="1" t="str">
        <f t="shared" si="0"/>
        <v>3RO C.A3</v>
      </c>
      <c r="B161" s="1">
        <v>3</v>
      </c>
      <c r="C161" s="1" t="s">
        <v>88</v>
      </c>
      <c r="D161" s="1" t="s">
        <v>133</v>
      </c>
      <c r="E161" s="1" t="s">
        <v>69</v>
      </c>
      <c r="F161" s="15" t="s">
        <v>67</v>
      </c>
      <c r="G161" s="1" t="s">
        <v>16</v>
      </c>
    </row>
    <row r="162" spans="1:7" ht="15.75" customHeight="1" x14ac:dyDescent="0.3">
      <c r="A162" s="1" t="str">
        <f t="shared" si="0"/>
        <v>3RO C.A4</v>
      </c>
      <c r="B162" s="1">
        <v>4</v>
      </c>
      <c r="C162" s="1" t="s">
        <v>118</v>
      </c>
      <c r="D162" s="1" t="s">
        <v>134</v>
      </c>
      <c r="E162" s="1" t="s">
        <v>69</v>
      </c>
      <c r="F162" s="15" t="s">
        <v>67</v>
      </c>
      <c r="G162" s="1" t="s">
        <v>16</v>
      </c>
    </row>
    <row r="163" spans="1:7" ht="15.75" customHeight="1" x14ac:dyDescent="0.3">
      <c r="A163" s="1" t="str">
        <f t="shared" si="0"/>
        <v>3RO C.A5</v>
      </c>
      <c r="B163" s="1">
        <v>5</v>
      </c>
      <c r="C163" s="1" t="s">
        <v>118</v>
      </c>
      <c r="D163" s="1" t="s">
        <v>97</v>
      </c>
      <c r="E163" s="1" t="s">
        <v>69</v>
      </c>
      <c r="F163" s="15" t="s">
        <v>67</v>
      </c>
      <c r="G163" s="1" t="s">
        <v>16</v>
      </c>
    </row>
    <row r="164" spans="1:7" ht="15.75" customHeight="1" x14ac:dyDescent="0.3">
      <c r="A164" s="1" t="str">
        <f t="shared" si="0"/>
        <v>3RO C.A6</v>
      </c>
      <c r="B164" s="1">
        <v>6</v>
      </c>
      <c r="C164" s="1" t="s">
        <v>118</v>
      </c>
      <c r="D164" s="1" t="s">
        <v>136</v>
      </c>
      <c r="E164" s="1" t="s">
        <v>69</v>
      </c>
      <c r="F164" s="15" t="s">
        <v>67</v>
      </c>
      <c r="G164" s="1" t="s">
        <v>16</v>
      </c>
    </row>
    <row r="165" spans="1:7" ht="15.75" customHeight="1" x14ac:dyDescent="0.3">
      <c r="A165" s="1" t="str">
        <f t="shared" si="0"/>
        <v>3RO C.A7</v>
      </c>
      <c r="B165" s="1">
        <v>7</v>
      </c>
      <c r="C165" s="1" t="s">
        <v>118</v>
      </c>
      <c r="D165" s="1" t="s">
        <v>137</v>
      </c>
      <c r="E165" s="1" t="s">
        <v>69</v>
      </c>
      <c r="F165" s="15" t="s">
        <v>67</v>
      </c>
      <c r="G165" s="1" t="s">
        <v>16</v>
      </c>
    </row>
    <row r="166" spans="1:7" ht="15.75" customHeight="1" x14ac:dyDescent="0.3">
      <c r="A166" s="1" t="str">
        <f t="shared" si="0"/>
        <v>3RO C.A8</v>
      </c>
      <c r="B166" s="1">
        <v>8</v>
      </c>
      <c r="C166" s="1" t="s">
        <v>111</v>
      </c>
      <c r="D166" s="1" t="s">
        <v>95</v>
      </c>
      <c r="E166" s="1" t="s">
        <v>69</v>
      </c>
      <c r="F166" s="15" t="s">
        <v>67</v>
      </c>
      <c r="G166" s="1" t="s">
        <v>16</v>
      </c>
    </row>
    <row r="167" spans="1:7" ht="15.75" customHeight="1" x14ac:dyDescent="0.3">
      <c r="A167" s="1" t="str">
        <f t="shared" si="0"/>
        <v>3RO C.A9</v>
      </c>
      <c r="B167" s="1">
        <v>9</v>
      </c>
      <c r="C167" s="1" t="s">
        <v>103</v>
      </c>
      <c r="D167" s="1" t="s">
        <v>105</v>
      </c>
      <c r="E167" s="1" t="s">
        <v>69</v>
      </c>
      <c r="F167" s="15" t="s">
        <v>67</v>
      </c>
      <c r="G167" s="1" t="s">
        <v>16</v>
      </c>
    </row>
    <row r="168" spans="1:7" ht="15.75" customHeight="1" x14ac:dyDescent="0.3">
      <c r="A168" s="1" t="str">
        <f t="shared" si="0"/>
        <v>3RO C.A10</v>
      </c>
      <c r="B168" s="1">
        <v>10</v>
      </c>
      <c r="C168" s="1" t="s">
        <v>112</v>
      </c>
      <c r="D168" s="1" t="s">
        <v>85</v>
      </c>
      <c r="E168" s="1" t="s">
        <v>69</v>
      </c>
      <c r="F168" s="15" t="s">
        <v>67</v>
      </c>
      <c r="G168" s="1" t="s">
        <v>16</v>
      </c>
    </row>
    <row r="169" spans="1:7" ht="15.75" customHeight="1" x14ac:dyDescent="0.3">
      <c r="A169" s="1" t="str">
        <f t="shared" si="0"/>
        <v>3RO C.A11</v>
      </c>
      <c r="B169" s="1">
        <v>11</v>
      </c>
      <c r="C169" s="1" t="s">
        <v>104</v>
      </c>
      <c r="D169" s="1" t="s">
        <v>113</v>
      </c>
      <c r="E169" s="1" t="s">
        <v>69</v>
      </c>
      <c r="F169" s="15" t="s">
        <v>67</v>
      </c>
      <c r="G169" s="1" t="s">
        <v>16</v>
      </c>
    </row>
    <row r="170" spans="1:7" ht="15.75" customHeight="1" x14ac:dyDescent="0.3">
      <c r="A170" s="1" t="str">
        <f t="shared" si="0"/>
        <v>3RO C.A12</v>
      </c>
      <c r="B170" s="1">
        <v>12</v>
      </c>
      <c r="C170" s="1" t="s">
        <v>94</v>
      </c>
      <c r="D170" s="1" t="s">
        <v>138</v>
      </c>
      <c r="E170" s="1" t="s">
        <v>69</v>
      </c>
      <c r="F170" s="15" t="s">
        <v>67</v>
      </c>
      <c r="G170" s="1" t="s">
        <v>16</v>
      </c>
    </row>
    <row r="171" spans="1:7" ht="15.75" customHeight="1" x14ac:dyDescent="0.3">
      <c r="A171" s="1" t="str">
        <f t="shared" si="0"/>
        <v>3RO C.A13</v>
      </c>
      <c r="B171" s="1">
        <v>13</v>
      </c>
      <c r="C171" s="1" t="s">
        <v>94</v>
      </c>
      <c r="D171" s="1" t="s">
        <v>139</v>
      </c>
      <c r="E171" s="1" t="s">
        <v>69</v>
      </c>
      <c r="F171" s="15" t="s">
        <v>67</v>
      </c>
      <c r="G171" s="1" t="s">
        <v>16</v>
      </c>
    </row>
    <row r="172" spans="1:7" ht="15.75" customHeight="1" x14ac:dyDescent="0.3">
      <c r="A172" s="1" t="str">
        <f t="shared" si="0"/>
        <v>3RO C.A14</v>
      </c>
      <c r="B172" s="1">
        <v>14</v>
      </c>
      <c r="C172" s="1" t="s">
        <v>114</v>
      </c>
      <c r="D172" s="1" t="s">
        <v>110</v>
      </c>
      <c r="E172" s="1" t="s">
        <v>69</v>
      </c>
      <c r="F172" s="15" t="s">
        <v>67</v>
      </c>
      <c r="G172" s="1" t="s">
        <v>16</v>
      </c>
    </row>
    <row r="173" spans="1:7" ht="15.75" customHeight="1" x14ac:dyDescent="0.3">
      <c r="A173" s="1" t="str">
        <f t="shared" si="0"/>
        <v>3RO C.A15</v>
      </c>
      <c r="B173" s="1">
        <v>15</v>
      </c>
      <c r="C173" s="1" t="s">
        <v>114</v>
      </c>
      <c r="D173" s="1" t="s">
        <v>115</v>
      </c>
      <c r="E173" s="1" t="s">
        <v>69</v>
      </c>
      <c r="F173" s="15" t="s">
        <v>67</v>
      </c>
      <c r="G173" s="1" t="s">
        <v>16</v>
      </c>
    </row>
    <row r="174" spans="1:7" ht="15.75" customHeight="1" x14ac:dyDescent="0.3">
      <c r="A174" s="1" t="str">
        <f t="shared" si="0"/>
        <v>3RO C.A16</v>
      </c>
      <c r="B174" s="1">
        <v>16</v>
      </c>
      <c r="C174" s="1" t="s">
        <v>98</v>
      </c>
      <c r="D174" s="1" t="s">
        <v>99</v>
      </c>
      <c r="E174" s="1" t="s">
        <v>69</v>
      </c>
      <c r="F174" s="15" t="s">
        <v>67</v>
      </c>
      <c r="G174" s="1" t="s">
        <v>16</v>
      </c>
    </row>
    <row r="175" spans="1:7" ht="15.75" customHeight="1" x14ac:dyDescent="0.3">
      <c r="A175" s="1" t="str">
        <f t="shared" si="0"/>
        <v>3RO C.A17</v>
      </c>
      <c r="B175" s="1">
        <v>17</v>
      </c>
      <c r="C175" s="1" t="s">
        <v>100</v>
      </c>
      <c r="D175" s="1" t="s">
        <v>101</v>
      </c>
      <c r="E175" s="1" t="s">
        <v>69</v>
      </c>
      <c r="F175" s="15" t="s">
        <v>67</v>
      </c>
      <c r="G175" s="1" t="s">
        <v>16</v>
      </c>
    </row>
    <row r="176" spans="1:7" ht="15.75" customHeight="1" x14ac:dyDescent="0.3">
      <c r="A176" s="1" t="str">
        <f t="shared" si="0"/>
        <v>2DO I. A1</v>
      </c>
      <c r="B176" s="1">
        <v>1</v>
      </c>
      <c r="C176" s="1" t="s">
        <v>84</v>
      </c>
      <c r="D176" s="1" t="s">
        <v>105</v>
      </c>
      <c r="E176" s="1" t="s">
        <v>78</v>
      </c>
      <c r="F176" s="15" t="s">
        <v>77</v>
      </c>
      <c r="G176" s="1" t="s">
        <v>16</v>
      </c>
    </row>
    <row r="177" spans="1:7" ht="15.75" customHeight="1" x14ac:dyDescent="0.3">
      <c r="A177" s="1" t="str">
        <f t="shared" si="0"/>
        <v>2DO I. A2</v>
      </c>
      <c r="B177" s="1">
        <v>2</v>
      </c>
      <c r="C177" s="1" t="s">
        <v>102</v>
      </c>
      <c r="D177" s="1" t="s">
        <v>97</v>
      </c>
      <c r="E177" s="1" t="s">
        <v>78</v>
      </c>
      <c r="F177" s="15" t="s">
        <v>77</v>
      </c>
      <c r="G177" s="1" t="s">
        <v>16</v>
      </c>
    </row>
    <row r="178" spans="1:7" ht="15.75" customHeight="1" x14ac:dyDescent="0.3">
      <c r="A178" s="1" t="str">
        <f t="shared" si="0"/>
        <v>2DO I. A3</v>
      </c>
      <c r="B178" s="1">
        <v>3</v>
      </c>
      <c r="C178" s="1" t="s">
        <v>102</v>
      </c>
      <c r="D178" s="1" t="s">
        <v>96</v>
      </c>
      <c r="E178" s="1" t="s">
        <v>78</v>
      </c>
      <c r="F178" s="15" t="s">
        <v>77</v>
      </c>
      <c r="G178" s="1" t="s">
        <v>16</v>
      </c>
    </row>
    <row r="179" spans="1:7" ht="15.75" customHeight="1" x14ac:dyDescent="0.3">
      <c r="A179" s="1" t="str">
        <f t="shared" si="0"/>
        <v>2DO I. A4</v>
      </c>
      <c r="B179" s="1">
        <v>4</v>
      </c>
      <c r="C179" s="1" t="s">
        <v>102</v>
      </c>
      <c r="D179" s="1" t="s">
        <v>140</v>
      </c>
      <c r="E179" s="1" t="s">
        <v>78</v>
      </c>
      <c r="F179" s="15" t="s">
        <v>77</v>
      </c>
      <c r="G179" s="1" t="s">
        <v>16</v>
      </c>
    </row>
    <row r="180" spans="1:7" ht="15.75" customHeight="1" x14ac:dyDescent="0.3">
      <c r="A180" s="1" t="str">
        <f t="shared" si="0"/>
        <v>2DO I. A5</v>
      </c>
      <c r="B180" s="1">
        <v>5</v>
      </c>
      <c r="C180" s="1" t="s">
        <v>102</v>
      </c>
      <c r="D180" s="1" t="s">
        <v>141</v>
      </c>
      <c r="E180" s="1" t="s">
        <v>78</v>
      </c>
      <c r="F180" s="15" t="s">
        <v>77</v>
      </c>
      <c r="G180" s="1" t="s">
        <v>16</v>
      </c>
    </row>
    <row r="181" spans="1:7" ht="15.75" customHeight="1" x14ac:dyDescent="0.3">
      <c r="A181" s="1" t="str">
        <f t="shared" si="0"/>
        <v>2DO I. A6</v>
      </c>
      <c r="B181" s="1">
        <v>6</v>
      </c>
      <c r="C181" s="1" t="s">
        <v>106</v>
      </c>
      <c r="D181" s="1" t="s">
        <v>113</v>
      </c>
      <c r="E181" s="1" t="s">
        <v>78</v>
      </c>
      <c r="F181" s="15" t="s">
        <v>77</v>
      </c>
      <c r="G181" s="1" t="s">
        <v>16</v>
      </c>
    </row>
    <row r="182" spans="1:7" ht="15.75" customHeight="1" x14ac:dyDescent="0.3">
      <c r="A182" s="1" t="str">
        <f t="shared" si="0"/>
        <v>2DO I. A7</v>
      </c>
      <c r="B182" s="1">
        <v>7</v>
      </c>
      <c r="C182" s="1" t="s">
        <v>106</v>
      </c>
      <c r="D182" s="1" t="s">
        <v>107</v>
      </c>
      <c r="E182" s="1" t="s">
        <v>78</v>
      </c>
      <c r="F182" s="15" t="s">
        <v>77</v>
      </c>
      <c r="G182" s="1" t="s">
        <v>16</v>
      </c>
    </row>
    <row r="183" spans="1:7" ht="15.75" customHeight="1" x14ac:dyDescent="0.3">
      <c r="A183" s="1" t="str">
        <f t="shared" si="0"/>
        <v>2DO I. A8</v>
      </c>
      <c r="B183" s="1">
        <v>8</v>
      </c>
      <c r="C183" s="1" t="s">
        <v>86</v>
      </c>
      <c r="D183" s="1" t="s">
        <v>87</v>
      </c>
      <c r="E183" s="1" t="s">
        <v>78</v>
      </c>
      <c r="F183" s="15" t="s">
        <v>77</v>
      </c>
      <c r="G183" s="1" t="s">
        <v>16</v>
      </c>
    </row>
    <row r="184" spans="1:7" ht="15.75" customHeight="1" x14ac:dyDescent="0.3">
      <c r="A184" s="1" t="str">
        <f t="shared" si="0"/>
        <v>2DO I. A9</v>
      </c>
      <c r="B184" s="1">
        <v>9</v>
      </c>
      <c r="C184" s="1" t="s">
        <v>86</v>
      </c>
      <c r="D184" s="1" t="s">
        <v>108</v>
      </c>
      <c r="E184" s="1" t="s">
        <v>78</v>
      </c>
      <c r="F184" s="15" t="s">
        <v>77</v>
      </c>
      <c r="G184" s="1" t="s">
        <v>16</v>
      </c>
    </row>
    <row r="185" spans="1:7" ht="15.75" customHeight="1" x14ac:dyDescent="0.3">
      <c r="A185" s="1" t="str">
        <f t="shared" si="0"/>
        <v>2DO I. A10</v>
      </c>
      <c r="B185" s="1">
        <v>10</v>
      </c>
      <c r="C185" s="1" t="s">
        <v>88</v>
      </c>
      <c r="D185" s="1" t="s">
        <v>93</v>
      </c>
      <c r="E185" s="1" t="s">
        <v>78</v>
      </c>
      <c r="F185" s="15" t="s">
        <v>77</v>
      </c>
      <c r="G185" s="1" t="s">
        <v>16</v>
      </c>
    </row>
    <row r="186" spans="1:7" ht="15.75" customHeight="1" x14ac:dyDescent="0.3">
      <c r="A186" s="1" t="str">
        <f t="shared" si="0"/>
        <v>2DO I. A11</v>
      </c>
      <c r="B186" s="1">
        <v>11</v>
      </c>
      <c r="C186" s="1" t="s">
        <v>90</v>
      </c>
      <c r="D186" s="1" t="s">
        <v>110</v>
      </c>
      <c r="E186" s="1" t="s">
        <v>78</v>
      </c>
      <c r="F186" s="15" t="s">
        <v>77</v>
      </c>
      <c r="G186" s="1" t="s">
        <v>16</v>
      </c>
    </row>
    <row r="187" spans="1:7" ht="15.75" customHeight="1" x14ac:dyDescent="0.3">
      <c r="A187" s="1" t="str">
        <f t="shared" si="0"/>
        <v>2DO I. A12</v>
      </c>
      <c r="B187" s="1">
        <v>12</v>
      </c>
      <c r="C187" s="1" t="s">
        <v>111</v>
      </c>
      <c r="D187" s="1" t="s">
        <v>95</v>
      </c>
      <c r="E187" s="1" t="s">
        <v>78</v>
      </c>
      <c r="F187" s="15" t="s">
        <v>77</v>
      </c>
      <c r="G187" s="1" t="s">
        <v>16</v>
      </c>
    </row>
    <row r="188" spans="1:7" ht="15.75" customHeight="1" x14ac:dyDescent="0.3">
      <c r="A188" s="1" t="str">
        <f t="shared" si="0"/>
        <v>2DO I. A13</v>
      </c>
      <c r="B188" s="1">
        <v>13</v>
      </c>
      <c r="C188" s="1" t="s">
        <v>103</v>
      </c>
      <c r="D188" s="1" t="s">
        <v>142</v>
      </c>
      <c r="E188" s="1" t="s">
        <v>78</v>
      </c>
      <c r="F188" s="15" t="s">
        <v>77</v>
      </c>
      <c r="G188" s="1" t="s">
        <v>16</v>
      </c>
    </row>
    <row r="189" spans="1:7" ht="15.75" customHeight="1" x14ac:dyDescent="0.3">
      <c r="A189" s="1" t="str">
        <f t="shared" si="0"/>
        <v>2DO I. A14</v>
      </c>
      <c r="B189" s="1">
        <v>14</v>
      </c>
      <c r="C189" s="1" t="s">
        <v>103</v>
      </c>
      <c r="D189" s="1" t="s">
        <v>143</v>
      </c>
      <c r="E189" s="1" t="s">
        <v>78</v>
      </c>
      <c r="F189" s="15" t="s">
        <v>77</v>
      </c>
      <c r="G189" s="1" t="s">
        <v>16</v>
      </c>
    </row>
    <row r="190" spans="1:7" ht="15.75" customHeight="1" x14ac:dyDescent="0.3">
      <c r="A190" s="1" t="str">
        <f t="shared" si="0"/>
        <v>2DO I. A15</v>
      </c>
      <c r="B190" s="1">
        <v>15</v>
      </c>
      <c r="C190" s="1" t="s">
        <v>112</v>
      </c>
      <c r="D190" s="1" t="s">
        <v>85</v>
      </c>
      <c r="E190" s="1" t="s">
        <v>78</v>
      </c>
      <c r="F190" s="15" t="s">
        <v>77</v>
      </c>
      <c r="G190" s="1" t="s">
        <v>16</v>
      </c>
    </row>
    <row r="191" spans="1:7" ht="15.75" customHeight="1" x14ac:dyDescent="0.3">
      <c r="A191" s="1" t="str">
        <f t="shared" si="0"/>
        <v>2DO I. A16</v>
      </c>
      <c r="B191" s="1">
        <v>16</v>
      </c>
      <c r="C191" s="1" t="s">
        <v>114</v>
      </c>
      <c r="D191" s="1" t="s">
        <v>115</v>
      </c>
      <c r="E191" s="1" t="s">
        <v>78</v>
      </c>
      <c r="F191" s="15" t="s">
        <v>77</v>
      </c>
      <c r="G191" s="1" t="s">
        <v>16</v>
      </c>
    </row>
    <row r="192" spans="1:7" ht="15.75" customHeight="1" x14ac:dyDescent="0.3">
      <c r="A192" s="1" t="str">
        <f t="shared" si="0"/>
        <v>2DO I. A17</v>
      </c>
      <c r="B192" s="1">
        <v>17</v>
      </c>
      <c r="C192" s="1" t="s">
        <v>114</v>
      </c>
      <c r="D192" s="1" t="s">
        <v>109</v>
      </c>
      <c r="E192" s="1" t="s">
        <v>78</v>
      </c>
      <c r="F192" s="15" t="s">
        <v>77</v>
      </c>
      <c r="G192" s="1" t="s">
        <v>16</v>
      </c>
    </row>
    <row r="193" spans="1:7" ht="15.75" customHeight="1" x14ac:dyDescent="0.3">
      <c r="A193" s="1" t="str">
        <f t="shared" si="0"/>
        <v>2DO I. A18</v>
      </c>
      <c r="B193" s="1">
        <v>18</v>
      </c>
      <c r="C193" s="1" t="s">
        <v>98</v>
      </c>
      <c r="D193" s="1" t="s">
        <v>99</v>
      </c>
      <c r="E193" s="1" t="s">
        <v>78</v>
      </c>
      <c r="F193" s="15" t="s">
        <v>77</v>
      </c>
      <c r="G193" s="1" t="s">
        <v>16</v>
      </c>
    </row>
    <row r="194" spans="1:7" ht="15.75" customHeight="1" x14ac:dyDescent="0.3">
      <c r="A194" s="1" t="str">
        <f t="shared" si="0"/>
        <v>2DO I. A19</v>
      </c>
      <c r="B194" s="1">
        <v>19</v>
      </c>
      <c r="C194" s="1" t="s">
        <v>100</v>
      </c>
      <c r="D194" s="1" t="s">
        <v>101</v>
      </c>
      <c r="E194" s="1" t="s">
        <v>78</v>
      </c>
      <c r="F194" s="15" t="s">
        <v>77</v>
      </c>
      <c r="G194" s="1" t="s">
        <v>16</v>
      </c>
    </row>
    <row r="195" spans="1:7" ht="15.75" customHeight="1" x14ac:dyDescent="0.3">
      <c r="A195" s="1" t="str">
        <f t="shared" si="0"/>
        <v>3RO I. A1</v>
      </c>
      <c r="B195" s="1">
        <v>1</v>
      </c>
      <c r="C195" s="1" t="s">
        <v>102</v>
      </c>
      <c r="D195" s="1" t="s">
        <v>143</v>
      </c>
      <c r="E195" s="1" t="s">
        <v>55</v>
      </c>
      <c r="F195" s="15" t="s">
        <v>54</v>
      </c>
      <c r="G195" s="1" t="s">
        <v>16</v>
      </c>
    </row>
    <row r="196" spans="1:7" ht="15.75" customHeight="1" x14ac:dyDescent="0.3">
      <c r="A196" s="1" t="str">
        <f t="shared" si="0"/>
        <v>3RO I. A2</v>
      </c>
      <c r="B196" s="1">
        <v>2</v>
      </c>
      <c r="C196" s="1" t="s">
        <v>102</v>
      </c>
      <c r="D196" s="1" t="s">
        <v>140</v>
      </c>
      <c r="E196" s="1" t="s">
        <v>55</v>
      </c>
      <c r="F196" s="15" t="s">
        <v>54</v>
      </c>
      <c r="G196" s="1" t="s">
        <v>16</v>
      </c>
    </row>
    <row r="197" spans="1:7" ht="15.75" customHeight="1" x14ac:dyDescent="0.3">
      <c r="A197" s="1" t="str">
        <f t="shared" si="0"/>
        <v>3RO I. A3</v>
      </c>
      <c r="B197" s="1">
        <v>3</v>
      </c>
      <c r="C197" s="1" t="s">
        <v>106</v>
      </c>
      <c r="D197" s="1" t="s">
        <v>107</v>
      </c>
      <c r="E197" s="1" t="s">
        <v>55</v>
      </c>
      <c r="F197" s="15" t="s">
        <v>54</v>
      </c>
      <c r="G197" s="1" t="s">
        <v>16</v>
      </c>
    </row>
    <row r="198" spans="1:7" ht="15.75" customHeight="1" x14ac:dyDescent="0.3">
      <c r="A198" s="1" t="str">
        <f t="shared" si="0"/>
        <v>3RO I. A4</v>
      </c>
      <c r="B198" s="1">
        <v>4</v>
      </c>
      <c r="C198" s="1" t="s">
        <v>88</v>
      </c>
      <c r="D198" s="1" t="s">
        <v>93</v>
      </c>
      <c r="E198" s="1" t="s">
        <v>55</v>
      </c>
      <c r="F198" s="15" t="s">
        <v>54</v>
      </c>
      <c r="G198" s="1" t="s">
        <v>16</v>
      </c>
    </row>
    <row r="199" spans="1:7" ht="15.75" customHeight="1" x14ac:dyDescent="0.3">
      <c r="A199" s="1" t="str">
        <f t="shared" si="0"/>
        <v>3RO I. A5</v>
      </c>
      <c r="B199" s="1">
        <v>5</v>
      </c>
      <c r="C199" s="1" t="s">
        <v>88</v>
      </c>
      <c r="D199" s="1" t="s">
        <v>144</v>
      </c>
      <c r="E199" s="1" t="s">
        <v>55</v>
      </c>
      <c r="F199" s="15" t="s">
        <v>54</v>
      </c>
      <c r="G199" s="1" t="s">
        <v>16</v>
      </c>
    </row>
    <row r="200" spans="1:7" ht="15.75" customHeight="1" x14ac:dyDescent="0.3">
      <c r="A200" s="1" t="str">
        <f t="shared" si="0"/>
        <v>3RO I. A6</v>
      </c>
      <c r="B200" s="1">
        <v>6</v>
      </c>
      <c r="C200" s="1" t="s">
        <v>111</v>
      </c>
      <c r="D200" s="1" t="s">
        <v>95</v>
      </c>
      <c r="E200" s="1" t="s">
        <v>55</v>
      </c>
      <c r="F200" s="15" t="s">
        <v>54</v>
      </c>
      <c r="G200" s="1" t="s">
        <v>16</v>
      </c>
    </row>
    <row r="201" spans="1:7" ht="15.75" customHeight="1" x14ac:dyDescent="0.3">
      <c r="A201" s="1" t="str">
        <f t="shared" si="0"/>
        <v>3RO I. A7</v>
      </c>
      <c r="B201" s="1">
        <v>7</v>
      </c>
      <c r="C201" s="1" t="s">
        <v>103</v>
      </c>
      <c r="D201" s="1" t="s">
        <v>105</v>
      </c>
      <c r="E201" s="1" t="s">
        <v>55</v>
      </c>
      <c r="F201" s="15" t="s">
        <v>54</v>
      </c>
      <c r="G201" s="1" t="s">
        <v>16</v>
      </c>
    </row>
    <row r="202" spans="1:7" ht="15.75" customHeight="1" x14ac:dyDescent="0.3">
      <c r="A202" s="1" t="str">
        <f t="shared" si="0"/>
        <v>3RO I. A8</v>
      </c>
      <c r="B202" s="1">
        <v>8</v>
      </c>
      <c r="C202" s="1" t="s">
        <v>103</v>
      </c>
      <c r="D202" s="1" t="s">
        <v>97</v>
      </c>
      <c r="E202" s="1" t="s">
        <v>55</v>
      </c>
      <c r="F202" s="15" t="s">
        <v>54</v>
      </c>
      <c r="G202" s="1" t="s">
        <v>16</v>
      </c>
    </row>
    <row r="203" spans="1:7" ht="15.75" customHeight="1" x14ac:dyDescent="0.3">
      <c r="A203" s="1" t="str">
        <f t="shared" si="0"/>
        <v>3RO I. A9</v>
      </c>
      <c r="B203" s="1">
        <v>9</v>
      </c>
      <c r="C203" s="1" t="s">
        <v>103</v>
      </c>
      <c r="D203" s="1" t="s">
        <v>142</v>
      </c>
      <c r="E203" s="1" t="s">
        <v>55</v>
      </c>
      <c r="F203" s="15" t="s">
        <v>54</v>
      </c>
      <c r="G203" s="1" t="s">
        <v>16</v>
      </c>
    </row>
    <row r="204" spans="1:7" ht="15.75" customHeight="1" x14ac:dyDescent="0.3">
      <c r="A204" s="1" t="str">
        <f t="shared" si="0"/>
        <v>3RO I. A10</v>
      </c>
      <c r="B204" s="1">
        <v>10</v>
      </c>
      <c r="C204" s="1" t="s">
        <v>103</v>
      </c>
      <c r="D204" s="1" t="s">
        <v>141</v>
      </c>
      <c r="E204" s="1" t="s">
        <v>55</v>
      </c>
      <c r="F204" s="15" t="s">
        <v>54</v>
      </c>
      <c r="G204" s="1" t="s">
        <v>16</v>
      </c>
    </row>
    <row r="205" spans="1:7" ht="15.75" customHeight="1" x14ac:dyDescent="0.3">
      <c r="A205" s="1" t="str">
        <f t="shared" si="0"/>
        <v>3RO I. A11</v>
      </c>
      <c r="B205" s="1">
        <v>11</v>
      </c>
      <c r="C205" s="1" t="s">
        <v>112</v>
      </c>
      <c r="D205" s="1" t="s">
        <v>85</v>
      </c>
      <c r="E205" s="1" t="s">
        <v>55</v>
      </c>
      <c r="F205" s="15" t="s">
        <v>54</v>
      </c>
      <c r="G205" s="1" t="s">
        <v>16</v>
      </c>
    </row>
    <row r="206" spans="1:7" ht="15.75" customHeight="1" x14ac:dyDescent="0.3">
      <c r="A206" s="1" t="str">
        <f t="shared" si="0"/>
        <v>3RO I. A12</v>
      </c>
      <c r="B206" s="1">
        <v>12</v>
      </c>
      <c r="C206" s="1" t="s">
        <v>104</v>
      </c>
      <c r="D206" s="1" t="s">
        <v>113</v>
      </c>
      <c r="E206" s="1" t="s">
        <v>55</v>
      </c>
      <c r="F206" s="15" t="s">
        <v>54</v>
      </c>
      <c r="G206" s="1" t="s">
        <v>16</v>
      </c>
    </row>
    <row r="207" spans="1:7" ht="15.75" customHeight="1" x14ac:dyDescent="0.3">
      <c r="A207" s="1" t="str">
        <f t="shared" si="0"/>
        <v>3RO I. A13</v>
      </c>
      <c r="B207" s="1">
        <v>13</v>
      </c>
      <c r="C207" s="1" t="s">
        <v>94</v>
      </c>
      <c r="D207" s="1" t="s">
        <v>139</v>
      </c>
      <c r="E207" s="1" t="s">
        <v>55</v>
      </c>
      <c r="F207" s="15" t="s">
        <v>54</v>
      </c>
      <c r="G207" s="1" t="s">
        <v>16</v>
      </c>
    </row>
    <row r="208" spans="1:7" ht="15.75" customHeight="1" x14ac:dyDescent="0.3">
      <c r="A208" s="1" t="str">
        <f t="shared" si="0"/>
        <v>3RO I. A14</v>
      </c>
      <c r="B208" s="1">
        <v>14</v>
      </c>
      <c r="C208" s="1" t="s">
        <v>114</v>
      </c>
      <c r="D208" s="1" t="s">
        <v>110</v>
      </c>
      <c r="E208" s="1" t="s">
        <v>55</v>
      </c>
      <c r="F208" s="15" t="s">
        <v>54</v>
      </c>
      <c r="G208" s="1" t="s">
        <v>16</v>
      </c>
    </row>
    <row r="209" spans="1:7" ht="15.75" customHeight="1" x14ac:dyDescent="0.3">
      <c r="A209" s="1" t="str">
        <f t="shared" si="0"/>
        <v>3RO I. A15</v>
      </c>
      <c r="B209" s="1">
        <v>15</v>
      </c>
      <c r="C209" s="1" t="s">
        <v>114</v>
      </c>
      <c r="D209" s="1" t="s">
        <v>115</v>
      </c>
      <c r="E209" s="1" t="s">
        <v>55</v>
      </c>
      <c r="F209" s="15" t="s">
        <v>54</v>
      </c>
      <c r="G209" s="1" t="s">
        <v>16</v>
      </c>
    </row>
    <row r="210" spans="1:7" ht="15.75" customHeight="1" x14ac:dyDescent="0.3">
      <c r="A210" s="1" t="str">
        <f t="shared" si="0"/>
        <v>3RO I. A16</v>
      </c>
      <c r="B210" s="1">
        <v>16</v>
      </c>
      <c r="C210" s="1" t="s">
        <v>98</v>
      </c>
      <c r="D210" s="1" t="s">
        <v>99</v>
      </c>
      <c r="E210" s="1" t="s">
        <v>55</v>
      </c>
      <c r="F210" s="15" t="s">
        <v>54</v>
      </c>
      <c r="G210" s="1" t="s">
        <v>16</v>
      </c>
    </row>
    <row r="211" spans="1:7" ht="15.75" customHeight="1" x14ac:dyDescent="0.3">
      <c r="A211" s="1" t="str">
        <f t="shared" si="0"/>
        <v>3RO I. A17</v>
      </c>
      <c r="B211" s="1">
        <v>17</v>
      </c>
      <c r="C211" s="1" t="s">
        <v>100</v>
      </c>
      <c r="D211" s="1" t="s">
        <v>101</v>
      </c>
      <c r="E211" s="1" t="s">
        <v>55</v>
      </c>
      <c r="F211" s="15" t="s">
        <v>54</v>
      </c>
      <c r="G211" s="1" t="s">
        <v>16</v>
      </c>
    </row>
    <row r="212" spans="1:7" ht="15.75" customHeight="1" x14ac:dyDescent="0.3">
      <c r="A212" s="1" t="str">
        <f t="shared" si="0"/>
        <v/>
      </c>
    </row>
    <row r="213" spans="1:7" ht="15.75" customHeight="1" x14ac:dyDescent="0.3">
      <c r="A213" s="1" t="str">
        <f t="shared" si="0"/>
        <v/>
      </c>
    </row>
    <row r="214" spans="1:7" ht="15.75" customHeight="1" x14ac:dyDescent="0.3">
      <c r="A214" s="1" t="str">
        <f t="shared" si="0"/>
        <v/>
      </c>
    </row>
    <row r="215" spans="1:7" ht="15.75" customHeight="1" x14ac:dyDescent="0.3">
      <c r="A215" s="1" t="str">
        <f t="shared" si="0"/>
        <v/>
      </c>
    </row>
    <row r="216" spans="1:7" ht="15.75" customHeight="1" x14ac:dyDescent="0.3">
      <c r="A216" s="1" t="str">
        <f t="shared" si="0"/>
        <v/>
      </c>
    </row>
    <row r="217" spans="1:7" ht="15.75" customHeight="1" x14ac:dyDescent="0.3">
      <c r="A217" s="1" t="str">
        <f t="shared" si="0"/>
        <v/>
      </c>
    </row>
    <row r="218" spans="1:7" ht="15.75" customHeight="1" x14ac:dyDescent="0.3">
      <c r="A218" s="1" t="str">
        <f t="shared" si="0"/>
        <v/>
      </c>
    </row>
    <row r="219" spans="1:7" ht="15.75" customHeight="1" x14ac:dyDescent="0.3">
      <c r="A219" s="1" t="str">
        <f t="shared" si="0"/>
        <v/>
      </c>
    </row>
    <row r="220" spans="1:7" ht="15.75" customHeight="1" x14ac:dyDescent="0.3">
      <c r="A220" s="1" t="str">
        <f t="shared" si="0"/>
        <v/>
      </c>
    </row>
    <row r="221" spans="1:7" ht="15.75" customHeight="1" x14ac:dyDescent="0.3">
      <c r="A221" s="1" t="str">
        <f t="shared" si="0"/>
        <v/>
      </c>
    </row>
    <row r="222" spans="1:7" ht="15.75" customHeight="1" x14ac:dyDescent="0.3">
      <c r="A222" s="1" t="str">
        <f t="shared" si="0"/>
        <v/>
      </c>
    </row>
    <row r="223" spans="1:7" ht="15.75" customHeight="1" x14ac:dyDescent="0.3">
      <c r="A223" s="1" t="str">
        <f t="shared" si="0"/>
        <v/>
      </c>
    </row>
    <row r="224" spans="1:7" ht="15.75" customHeight="1" x14ac:dyDescent="0.3">
      <c r="A224" s="1" t="str">
        <f t="shared" si="0"/>
        <v/>
      </c>
    </row>
    <row r="225" spans="1:1" ht="15.75" customHeight="1" x14ac:dyDescent="0.3">
      <c r="A225" s="1" t="str">
        <f t="shared" si="0"/>
        <v/>
      </c>
    </row>
    <row r="226" spans="1:1" ht="15.75" customHeight="1" x14ac:dyDescent="0.3">
      <c r="A226" s="1" t="str">
        <f t="shared" si="0"/>
        <v/>
      </c>
    </row>
    <row r="227" spans="1:1" ht="15.75" customHeight="1" x14ac:dyDescent="0.3">
      <c r="A227" s="1" t="str">
        <f t="shared" si="0"/>
        <v/>
      </c>
    </row>
    <row r="228" spans="1:1" ht="15.75" customHeight="1" x14ac:dyDescent="0.3">
      <c r="A228" s="1" t="str">
        <f t="shared" si="0"/>
        <v/>
      </c>
    </row>
    <row r="229" spans="1:1" ht="15.75" customHeight="1" x14ac:dyDescent="0.3">
      <c r="A229" s="1" t="str">
        <f t="shared" si="0"/>
        <v/>
      </c>
    </row>
    <row r="230" spans="1:1" ht="15.75" customHeight="1" x14ac:dyDescent="0.3">
      <c r="A230" s="1" t="str">
        <f t="shared" si="0"/>
        <v/>
      </c>
    </row>
    <row r="231" spans="1:1" ht="15.75" customHeight="1" x14ac:dyDescent="0.3"/>
    <row r="232" spans="1:1" ht="15.75" customHeight="1" x14ac:dyDescent="0.3"/>
    <row r="233" spans="1:1" ht="15.75" customHeight="1" x14ac:dyDescent="0.3"/>
    <row r="234" spans="1:1" ht="15.75" customHeight="1" x14ac:dyDescent="0.3"/>
    <row r="235" spans="1:1" ht="15.75" customHeight="1" x14ac:dyDescent="0.3"/>
    <row r="236" spans="1:1" ht="15.75" customHeight="1" x14ac:dyDescent="0.3"/>
    <row r="237" spans="1:1" ht="15.75" customHeight="1" x14ac:dyDescent="0.3"/>
    <row r="238" spans="1:1" ht="15.75" customHeight="1" x14ac:dyDescent="0.3"/>
    <row r="239" spans="1:1" ht="15.75" customHeight="1" x14ac:dyDescent="0.3"/>
    <row r="240" spans="1: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0.33203125" customWidth="1"/>
    <col min="3" max="26" width="10.6640625" customWidth="1"/>
  </cols>
  <sheetData>
    <row r="1" spans="1:4" ht="14.4" x14ac:dyDescent="0.3">
      <c r="A1" s="1" t="s">
        <v>145</v>
      </c>
      <c r="B1" s="1" t="s">
        <v>10</v>
      </c>
      <c r="C1" s="1" t="s">
        <v>82</v>
      </c>
      <c r="D1" s="1" t="s">
        <v>146</v>
      </c>
    </row>
    <row r="2" spans="1:4" ht="14.4" x14ac:dyDescent="0.3">
      <c r="A2" s="1" t="s">
        <v>4</v>
      </c>
      <c r="B2" s="1" t="s">
        <v>19</v>
      </c>
    </row>
    <row r="3" spans="1:4" ht="14.4" x14ac:dyDescent="0.3">
      <c r="A3" s="1" t="s">
        <v>147</v>
      </c>
      <c r="B3" s="1" t="s">
        <v>148</v>
      </c>
      <c r="D3" s="1" t="s">
        <v>29</v>
      </c>
    </row>
    <row r="4" spans="1:4" ht="14.4" x14ac:dyDescent="0.3">
      <c r="A4" s="1" t="s">
        <v>149</v>
      </c>
      <c r="B4" s="1" t="s">
        <v>150</v>
      </c>
    </row>
    <row r="5" spans="1:4" ht="14.4" x14ac:dyDescent="0.3">
      <c r="A5" s="1" t="s">
        <v>151</v>
      </c>
      <c r="B5" s="1" t="s">
        <v>152</v>
      </c>
    </row>
    <row r="6" spans="1:4" ht="14.4" x14ac:dyDescent="0.3">
      <c r="A6" s="1" t="s">
        <v>153</v>
      </c>
      <c r="B6" s="1" t="s">
        <v>99</v>
      </c>
    </row>
    <row r="7" spans="1:4" ht="14.4" x14ac:dyDescent="0.3">
      <c r="B7" s="1" t="s">
        <v>154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Acta</vt:lpstr>
      <vt:lpstr>Tutores</vt:lpstr>
      <vt:lpstr>Asig</vt:lpstr>
      <vt:lpstr>Datos</vt:lpstr>
      <vt:lpstr>Año</vt:lpstr>
      <vt:lpstr>asigna</vt:lpstr>
      <vt:lpstr>CURSOS</vt:lpstr>
      <vt:lpstr>Lugar</vt:lpstr>
      <vt:lpstr>TUTOR</vt:lpstr>
      <vt:lpstr>tutor1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</dc:creator>
  <cp:lastModifiedBy>Gonzalo Nicolás Peñaherrera Escobar</cp:lastModifiedBy>
  <dcterms:created xsi:type="dcterms:W3CDTF">2026-02-23T16:43:10Z</dcterms:created>
  <dcterms:modified xsi:type="dcterms:W3CDTF">2026-07-20T14:54:58Z</dcterms:modified>
</cp:coreProperties>
</file>